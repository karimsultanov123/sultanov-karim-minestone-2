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A56E274-ADDF-49FB-8217-00F1B129130F}" xr6:coauthVersionLast="47" xr6:coauthVersionMax="47" xr10:uidLastSave="{00000000-0000-0000-0000-000000000000}"/>
  <bookViews>
    <workbookView xWindow="-110" yWindow="-110" windowWidth="19420" windowHeight="10420" xr2:uid="{C080E9EE-DA48-4B90-830E-669E51FC3BEF}"/>
  </bookViews>
  <sheets>
    <sheet name="decile" sheetId="1" r:id="rId1"/>
    <sheet name="cohort" sheetId="2" r:id="rId2"/>
    <sheet name="comparative" sheetId="3" r:id="rId3"/>
    <sheet name="annu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<sst xmlns="http://schemas.openxmlformats.org/spreadsheetml/2006/main" count="398" uniqueCount="252">
  <si>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</si>
  <si>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</si>
  <si>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</si>
  <si>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</si>
  <si>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</si>
  <si>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</si>
  <si>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</si>
  <si>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</si>
  <si>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</si>
  <si>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</si>
  <si>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</si>
  <si>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3,180</t>
  </si>
  <si>
    <t>17,503</t>
  </si>
  <si>
    <t>128,952,505</t>
  </si>
  <si>
    <t>62,160,175</t>
  </si>
  <si>
    <t>40,551.10</t>
  </si>
  <si>
    <t>19,547.22</t>
  </si>
  <si>
    <t>$7,367</t>
  </si>
  <si>
    <t>8,703</t>
  </si>
  <si>
    <t>55,542,905</t>
  </si>
  <si>
    <t>27,079,030</t>
  </si>
  <si>
    <t>17,466.32</t>
  </si>
  <si>
    <t>8,515.42</t>
  </si>
  <si>
    <t>$6,382</t>
  </si>
  <si>
    <t>3,177</t>
  </si>
  <si>
    <t>6,345</t>
  </si>
  <si>
    <t>38,274,225</t>
  </si>
  <si>
    <t>18,722,055</t>
  </si>
  <si>
    <t>12,047.29</t>
  </si>
  <si>
    <t>5,893.00</t>
  </si>
  <si>
    <t>$6,032</t>
  </si>
  <si>
    <t>3,178</t>
  </si>
  <si>
    <t>5,349</t>
  </si>
  <si>
    <t>29,017,010</t>
  </si>
  <si>
    <t>13,916,595</t>
  </si>
  <si>
    <t>9,130.59</t>
  </si>
  <si>
    <t>4,379.04</t>
  </si>
  <si>
    <t>$5,425</t>
  </si>
  <si>
    <t>3,183</t>
  </si>
  <si>
    <t>4,683</t>
  </si>
  <si>
    <t>22,555,225</t>
  </si>
  <si>
    <t>10,734,405</t>
  </si>
  <si>
    <t>7,086.15</t>
  </si>
  <si>
    <t>3,372.42</t>
  </si>
  <si>
    <t>$4,816</t>
  </si>
  <si>
    <t>3,124</t>
  </si>
  <si>
    <t>4,330</t>
  </si>
  <si>
    <t>17,169,955</t>
  </si>
  <si>
    <t>7,948,270</t>
  </si>
  <si>
    <t>5,496.14</t>
  </si>
  <si>
    <t>2,544.26</t>
  </si>
  <si>
    <t>$3,965</t>
  </si>
  <si>
    <t>3,233</t>
  </si>
  <si>
    <t>4,004</t>
  </si>
  <si>
    <t>13,470,710</t>
  </si>
  <si>
    <t>6,240,025</t>
  </si>
  <si>
    <t>4,166.63</t>
  </si>
  <si>
    <t>1,930.10</t>
  </si>
  <si>
    <t>$3,364</t>
  </si>
  <si>
    <t>2,996</t>
  </si>
  <si>
    <t>3,414</t>
  </si>
  <si>
    <t>9,381,075</t>
  </si>
  <si>
    <t>4,326,685</t>
  </si>
  <si>
    <t>3,131.20</t>
  </si>
  <si>
    <t>1,444.15</t>
  </si>
  <si>
    <t>$2,748</t>
  </si>
  <si>
    <t>3,360</t>
  </si>
  <si>
    <t>3,659</t>
  </si>
  <si>
    <t>7,496,500</t>
  </si>
  <si>
    <t>3,334,100</t>
  </si>
  <si>
    <t>2,231.10</t>
  </si>
  <si>
    <t>$2,049</t>
  </si>
  <si>
    <t>3,186</t>
  </si>
  <si>
    <t>3,270</t>
  </si>
  <si>
    <t>3,740,550</t>
  </si>
  <si>
    <t>1,554,795</t>
  </si>
  <si>
    <t>1,174.06</t>
  </si>
  <si>
    <t>$1,144</t>
  </si>
  <si>
    <t>TOTAL</t>
  </si>
  <si>
    <t>31,797</t>
  </si>
  <si>
    <t>61,260</t>
  </si>
  <si>
    <t>325,600,660</t>
  </si>
  <si>
    <t>156,016,135</t>
  </si>
  <si>
    <t>4,906.63</t>
  </si>
  <si>
    <t>$5,315</t>
  </si>
  <si>
    <t>Customer Engagment</t>
  </si>
  <si>
    <t>Revenue, Profit Concentration</t>
  </si>
  <si>
    <t>SUM of # Customers</t>
  </si>
  <si>
    <t>SUM of AOF AVerage order frequency</t>
  </si>
  <si>
    <t>rows - decile</t>
  </si>
  <si>
    <t>SUM of Revenue</t>
  </si>
  <si>
    <t>SUM of Profit</t>
  </si>
  <si>
    <t>values - customers,AOF</t>
  </si>
  <si>
    <t>values - revenue, profit</t>
  </si>
  <si>
    <t>Grand Total</t>
  </si>
  <si>
    <t>Value Decomposition</t>
  </si>
  <si>
    <t>Transaction Volume Analysis</t>
  </si>
  <si>
    <t>SUM of Order Value =Revenue/Transactions</t>
  </si>
  <si>
    <t>SUM of Average Margin =Profit/Revenue</t>
  </si>
  <si>
    <t>SUM of Total Transactions</t>
  </si>
  <si>
    <t>values - order value, average margin</t>
  </si>
  <si>
    <t>values - total transactions</t>
  </si>
  <si>
    <t>$43,293</t>
  </si>
  <si>
    <t>Quarter</t>
  </si>
  <si>
    <t>% active</t>
  </si>
  <si>
    <t>Avg spend/active customer</t>
  </si>
  <si>
    <t>AOF</t>
  </si>
  <si>
    <t>AOV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</si>
  <si>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</si>
  <si>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</si>
  <si>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</si>
  <si>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</si>
  <si>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</si>
  <si>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</si>
  <si>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</si>
  <si>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</si>
  <si>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</si>
  <si>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</si>
  <si>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</si>
  <si>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</si>
  <si>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</si>
  <si>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</si>
  <si>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</si>
  <si>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</si>
  <si>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21.803.980</t>
  </si>
  <si>
    <t>10.398.135</t>
  </si>
  <si>
    <t>2.765.015</t>
  </si>
  <si>
    <t>1.386.330</t>
  </si>
  <si>
    <t>2.352.130</t>
  </si>
  <si>
    <t>1.173.700</t>
  </si>
  <si>
    <t>4.692.930</t>
  </si>
  <si>
    <t>2.335.300</t>
  </si>
  <si>
    <t>2.411.530</t>
  </si>
  <si>
    <t>1.161.600</t>
  </si>
  <si>
    <t>2.186.470</t>
  </si>
  <si>
    <t>1.074.425</t>
  </si>
  <si>
    <t>2.040.280</t>
  </si>
  <si>
    <t>4.619.175</t>
  </si>
  <si>
    <t>2.215.950</t>
  </si>
  <si>
    <t>2.391.565</t>
  </si>
  <si>
    <t>1.101.815</t>
  </si>
  <si>
    <t>2.061.895</t>
  </si>
  <si>
    <t>1.826.220</t>
  </si>
  <si>
    <t>3.652.880</t>
  </si>
  <si>
    <t>1.726.835</t>
  </si>
  <si>
    <t>1.945.185</t>
  </si>
  <si>
    <t>1.882.925</t>
  </si>
  <si>
    <t>1.504.580</t>
  </si>
  <si>
    <t>3.447.070</t>
  </si>
  <si>
    <t>1.627.065</t>
  </si>
  <si>
    <t>3q 2021</t>
  </si>
  <si>
    <t>4q 2021</t>
  </si>
  <si>
    <t>4q 2022</t>
  </si>
  <si>
    <t>18.866.045</t>
  </si>
  <si>
    <t>9.389.215</t>
  </si>
  <si>
    <t>4.377.010</t>
  </si>
  <si>
    <t>2.173.325</t>
  </si>
  <si>
    <t>50.815.985</t>
  </si>
  <si>
    <t>26.164.050</t>
  </si>
  <si>
    <t>1.908.940</t>
  </si>
  <si>
    <t>5.396.435</t>
  </si>
  <si>
    <t>2.596.110</t>
  </si>
  <si>
    <t>2.357.300</t>
  </si>
  <si>
    <t>1.154.450</t>
  </si>
  <si>
    <t>4.014.505</t>
  </si>
  <si>
    <t>1.990.010</t>
  </si>
  <si>
    <t>2.213.530</t>
  </si>
  <si>
    <t>1.063.370</t>
  </si>
  <si>
    <t>3.515.930</t>
  </si>
  <si>
    <t>1.742.015</t>
  </si>
  <si>
    <t>3.017.685</t>
  </si>
  <si>
    <t>1.435.610</t>
  </si>
  <si>
    <t>8.754.185</t>
  </si>
  <si>
    <t>4.264.700</t>
  </si>
  <si>
    <t>46.089.890</t>
  </si>
  <si>
    <t>22.577.830</t>
  </si>
  <si>
    <t>1.575.365</t>
  </si>
  <si>
    <t>3.430.020</t>
  </si>
  <si>
    <t>1.596.375</t>
  </si>
  <si>
    <t>5.531.845</t>
  </si>
  <si>
    <t>2.540.340</t>
  </si>
  <si>
    <t>1.804.770</t>
  </si>
  <si>
    <t>3.375.460</t>
  </si>
  <si>
    <t>1.614.635</t>
  </si>
  <si>
    <t>3.571.370</t>
  </si>
  <si>
    <t>1.677.170</t>
  </si>
  <si>
    <t>1.582.735</t>
  </si>
  <si>
    <t>3.476.385</t>
  </si>
  <si>
    <t>1.640.210</t>
  </si>
  <si>
    <t>2.838.000</t>
  </si>
  <si>
    <t>1.371.040</t>
  </si>
  <si>
    <t>3.222.065</t>
  </si>
  <si>
    <t>1.519.155</t>
  </si>
  <si>
    <t>8.510.590</t>
  </si>
  <si>
    <t>4.095.850</t>
  </si>
  <si>
    <t>8.927.160</t>
  </si>
  <si>
    <t>4.306.665</t>
  </si>
  <si>
    <t>1.638.945</t>
  </si>
  <si>
    <t>3.439.535</t>
  </si>
  <si>
    <t>1.651.705</t>
  </si>
  <si>
    <t>3.135.275</t>
  </si>
  <si>
    <t>1.509.805</t>
  </si>
  <si>
    <t>1.742.675</t>
  </si>
  <si>
    <t>3.467.475</t>
  </si>
  <si>
    <t>1.650.495</t>
  </si>
  <si>
    <t>2.546.775</t>
  </si>
  <si>
    <t>1.241.075</t>
  </si>
  <si>
    <t>1.446.720</t>
  </si>
  <si>
    <t>2.413.840</t>
  </si>
  <si>
    <t>1.158.025</t>
  </si>
  <si>
    <t>2.251.975</t>
  </si>
  <si>
    <t>1.074.480</t>
  </si>
  <si>
    <t>2.693.735</t>
  </si>
  <si>
    <t>1.293.325</t>
  </si>
  <si>
    <t>7.542.645</t>
  </si>
  <si>
    <t>3.669.875</t>
  </si>
  <si>
    <t>7.285.410</t>
  </si>
  <si>
    <t>3.469.510</t>
  </si>
  <si>
    <t>Pre-2021</t>
  </si>
  <si>
    <t>Acquisition</t>
  </si>
  <si>
    <t>Retention rate</t>
  </si>
  <si>
    <t>2021-2022</t>
  </si>
  <si>
    <t>2022-2023</t>
  </si>
  <si>
    <t>2023-2024</t>
  </si>
  <si>
    <t>75.539.904</t>
  </si>
  <si>
    <t>61.713.306</t>
  </si>
  <si>
    <t>57.535.363</t>
  </si>
  <si>
    <t>55.477.923</t>
  </si>
  <si>
    <t>131.869.557</t>
  </si>
  <si>
    <t>52.597.105</t>
  </si>
  <si>
    <t>45.025.838</t>
  </si>
  <si>
    <t>41.006.845</t>
  </si>
  <si>
    <t>106.151.953</t>
  </si>
  <si>
    <t>40.414.088</t>
  </si>
  <si>
    <t>31.974.173</t>
  </si>
  <si>
    <t>123.174.634</t>
  </si>
  <si>
    <t>44.414.436</t>
  </si>
  <si>
    <t>152.727.328</t>
  </si>
  <si>
    <t>37.487.742</t>
  </si>
  <si>
    <t>30.335.338</t>
  </si>
  <si>
    <t>27.485.475</t>
  </si>
  <si>
    <t>26.831.497</t>
  </si>
  <si>
    <t>66.061.534</t>
  </si>
  <si>
    <t>25.603.149</t>
  </si>
  <si>
    <t>21.266.119</t>
  </si>
  <si>
    <t>19.554.051</t>
  </si>
  <si>
    <t>51.967.834</t>
  </si>
  <si>
    <t>19.015.788</t>
  </si>
  <si>
    <t>15.258.799</t>
  </si>
  <si>
    <t>59.071.749</t>
  </si>
  <si>
    <t>20.970.296</t>
  </si>
  <si>
    <t>73.401.526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</si>
</sst>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sz val="18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indexed="64"/>
      </patternFill>
    </fill>
  </fills>
  <borders count="4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double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1" fillId="4" borderId="5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0" fontId="1" fillId="5" borderId="1" xfId="0" applyNumberFormat="1" applyFont="1" applyFill="1" applyBorder="1" applyAlignment="1">
      <alignment horizontal="right" wrapText="1"/>
    </xf>
    <xf numFmtId="0" fontId="1" fillId="4" borderId="6" xfId="0" applyFont="1" applyFill="1" applyBorder="1" applyAlignment="1">
      <alignment horizontal="right" wrapText="1"/>
    </xf>
    <xf numFmtId="0" fontId="1" fillId="5" borderId="3" xfId="0" applyFont="1" applyFill="1" applyBorder="1" applyAlignment="1">
      <alignment horizontal="right" wrapText="1"/>
    </xf>
    <xf numFmtId="10" fontId="1" fillId="5" borderId="3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10" fontId="4" fillId="2" borderId="1" xfId="0" applyNumberFormat="1" applyFont="1" applyFill="1" applyBorder="1" applyAlignment="1">
      <alignment horizontal="right" wrapText="1"/>
    </xf>
    <xf numFmtId="9" fontId="1" fillId="5" borderId="1" xfId="0" applyNumberFormat="1" applyFont="1" applyFill="1" applyBorder="1" applyAlignment="1">
      <alignment horizontal="right" wrapText="1"/>
    </xf>
    <xf numFmtId="9" fontId="1" fillId="5" borderId="3" xfId="0" applyNumberFormat="1" applyFont="1" applyFill="1" applyBorder="1" applyAlignment="1">
      <alignment horizontal="right" wrapText="1"/>
    </xf>
    <xf numFmtId="9" fontId="4" fillId="2" borderId="1" xfId="0" applyNumberFormat="1" applyFont="1" applyFill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6" borderId="7" xfId="0" applyFont="1" applyFill="1" applyBorder="1" applyAlignment="1">
      <alignment horizontal="right" wrapText="1"/>
    </xf>
    <xf numFmtId="9" fontId="1" fillId="6" borderId="7" xfId="0" applyNumberFormat="1" applyFont="1" applyFill="1" applyBorder="1" applyAlignment="1">
      <alignment horizontal="right" wrapText="1"/>
    </xf>
    <xf numFmtId="10" fontId="1" fillId="6" borderId="7" xfId="0" applyNumberFormat="1" applyFont="1" applyFill="1" applyBorder="1" applyAlignment="1">
      <alignment horizontal="right" wrapText="1"/>
    </xf>
    <xf numFmtId="0" fontId="2" fillId="6" borderId="7" xfId="0" applyFont="1" applyFill="1" applyBorder="1" applyAlignment="1">
      <alignment wrapText="1"/>
    </xf>
    <xf numFmtId="0" fontId="1" fillId="7" borderId="7" xfId="0" applyFont="1" applyFill="1" applyBorder="1" applyAlignment="1">
      <alignment horizontal="right" wrapText="1"/>
    </xf>
    <xf numFmtId="0" fontId="2" fillId="8" borderId="1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8" borderId="3" xfId="0" applyFont="1" applyFill="1" applyBorder="1" applyAlignment="1">
      <alignment horizontal="right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5" xfId="0" applyFont="1" applyBorder="1" applyAlignment="1">
      <alignment horizontal="right" wrapText="1"/>
    </xf>
    <xf numFmtId="0" fontId="1" fillId="0" borderId="17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9" fontId="1" fillId="0" borderId="2" xfId="0" applyNumberFormat="1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7" xfId="0" applyFont="1" applyBorder="1" applyAlignment="1">
      <alignment vertical="center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horizontal="right"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2" fillId="8" borderId="28" xfId="0" applyFont="1" applyFill="1" applyBorder="1" applyAlignment="1">
      <alignment horizontal="right" wrapText="1"/>
    </xf>
    <xf numFmtId="0" fontId="2" fillId="8" borderId="19" xfId="0" applyFont="1" applyFill="1" applyBorder="1" applyAlignment="1">
      <alignment horizontal="right" wrapText="1"/>
    </xf>
    <xf numFmtId="0" fontId="2" fillId="8" borderId="29" xfId="0" applyFont="1" applyFill="1" applyBorder="1" applyAlignment="1">
      <alignment horizontal="right" wrapText="1"/>
    </xf>
    <xf numFmtId="0" fontId="2" fillId="0" borderId="30" xfId="0" applyFont="1" applyBorder="1" applyAlignment="1">
      <alignment horizontal="right" wrapText="1"/>
    </xf>
    <xf numFmtId="0" fontId="2" fillId="0" borderId="31" xfId="0" applyFont="1" applyBorder="1" applyAlignment="1">
      <alignment horizontal="right" wrapText="1"/>
    </xf>
    <xf numFmtId="0" fontId="2" fillId="0" borderId="32" xfId="0" applyFont="1" applyBorder="1" applyAlignment="1">
      <alignment horizontal="right" wrapText="1"/>
    </xf>
    <xf numFmtId="9" fontId="2" fillId="0" borderId="33" xfId="0" applyNumberFormat="1" applyFont="1" applyBorder="1" applyAlignment="1">
      <alignment horizontal="right" wrapText="1"/>
    </xf>
    <xf numFmtId="0" fontId="2" fillId="0" borderId="34" xfId="0" applyFont="1" applyBorder="1" applyAlignment="1">
      <alignment horizontal="right" wrapText="1"/>
    </xf>
    <xf numFmtId="9" fontId="2" fillId="0" borderId="35" xfId="0" applyNumberFormat="1" applyFont="1" applyBorder="1" applyAlignment="1">
      <alignment horizontal="right" wrapText="1"/>
    </xf>
    <xf numFmtId="0" fontId="2" fillId="0" borderId="36" xfId="0" applyFont="1" applyBorder="1" applyAlignment="1">
      <alignment horizontal="right" wrapText="1"/>
    </xf>
    <xf numFmtId="0" fontId="2" fillId="0" borderId="37" xfId="0" applyFont="1" applyBorder="1" applyAlignment="1">
      <alignment horizontal="right" wrapText="1"/>
    </xf>
    <xf numFmtId="0" fontId="2" fillId="6" borderId="38" xfId="0" applyFont="1" applyFill="1" applyBorder="1" applyAlignment="1">
      <alignment horizontal="right" wrapText="1"/>
    </xf>
    <xf numFmtId="10" fontId="1" fillId="6" borderId="38" xfId="0" applyNumberFormat="1" applyFont="1" applyFill="1" applyBorder="1" applyAlignment="1">
      <alignment horizontal="right" wrapText="1"/>
    </xf>
    <xf numFmtId="0" fontId="1" fillId="7" borderId="39" xfId="0" applyFont="1" applyFill="1" applyBorder="1" applyAlignment="1">
      <alignment wrapText="1"/>
    </xf>
    <xf numFmtId="0" fontId="1" fillId="7" borderId="40" xfId="0" applyFont="1" applyFill="1" applyBorder="1" applyAlignment="1">
      <alignment wrapText="1"/>
    </xf>
    <xf numFmtId="0" fontId="1" fillId="7" borderId="41" xfId="0" applyFont="1" applyFill="1" applyBorder="1" applyAlignment="1">
      <alignment wrapText="1"/>
    </xf>
    <xf numFmtId="0" fontId="1" fillId="7" borderId="42" xfId="0" applyFont="1" applyFill="1" applyBorder="1" applyAlignment="1">
      <alignment horizontal="right" wrapText="1"/>
    </xf>
    <xf numFmtId="9" fontId="1" fillId="7" borderId="43" xfId="0" applyNumberFormat="1" applyFont="1" applyFill="1" applyBorder="1" applyAlignment="1">
      <alignment horizontal="right" wrapText="1"/>
    </xf>
    <xf numFmtId="0" fontId="1" fillId="7" borderId="44" xfId="0" applyFont="1" applyFill="1" applyBorder="1" applyAlignment="1">
      <alignment wrapText="1"/>
    </xf>
    <xf numFmtId="0" fontId="1" fillId="7" borderId="45" xfId="0" applyFont="1" applyFill="1" applyBorder="1" applyAlignment="1">
      <alignment horizontal="right" wrapText="1"/>
    </xf>
    <xf numFmtId="9" fontId="1" fillId="7" borderId="46" xfId="0" applyNumberFormat="1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decile!$H$16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decile!$G$17:$G$26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decile!$H$17:$H$26</c:f>
              <c:numCache>
                <c:formatCode>0.00%</c:formatCode>
                <c:ptCount val="10"/>
                <c:pt idx="0">
                  <c:v>0.39600000000000002</c:v>
                </c:pt>
                <c:pt idx="1">
                  <c:v>0.1706</c:v>
                </c:pt>
                <c:pt idx="2">
                  <c:v>0.11749999999999999</c:v>
                </c:pt>
                <c:pt idx="3">
                  <c:v>8.9099999999999999E-2</c:v>
                </c:pt>
                <c:pt idx="4">
                  <c:v>6.93E-2</c:v>
                </c:pt>
                <c:pt idx="5">
                  <c:v>5.2699999999999997E-2</c:v>
                </c:pt>
                <c:pt idx="6">
                  <c:v>4.1399999999999999E-2</c:v>
                </c:pt>
                <c:pt idx="7">
                  <c:v>2.8799999999999999E-2</c:v>
                </c:pt>
                <c:pt idx="8">
                  <c:v>2.3E-2</c:v>
                </c:pt>
                <c:pt idx="9">
                  <c:v>1.15E-2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6-4AF5-9F43-0AAE3BCE2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8462896"/>
        <c:axId val="578467576"/>
      </c:lineChart>
      <c:catAx>
        <c:axId val="5784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467576"/>
        <c:crosses val="autoZero"/>
        <c:auto val="1"/>
        <c:lblAlgn val="ctr"/>
        <c:lblOffset val="100"/>
        <c:noMultiLvlLbl val="0"/>
      </c:catAx>
      <c:valAx>
        <c:axId val="57846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46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decile!$H$29</c:f>
              <c:strCache>
                <c:ptCount val="1"/>
                <c:pt idx="0">
                  <c:v>SUM of Total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decile!$G$30:$G$39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decile!$H$30:$H$39</c:f>
              <c:numCache>
                <c:formatCode>0.00%</c:formatCode>
                <c:ptCount val="10"/>
                <c:pt idx="0">
                  <c:v>0.28570000000000001</c:v>
                </c:pt>
                <c:pt idx="1">
                  <c:v>0.1421</c:v>
                </c:pt>
                <c:pt idx="2">
                  <c:v>0.1036</c:v>
                </c:pt>
                <c:pt idx="3">
                  <c:v>8.7300000000000003E-2</c:v>
                </c:pt>
                <c:pt idx="4">
                  <c:v>7.6399999999999996E-2</c:v>
                </c:pt>
                <c:pt idx="5">
                  <c:v>7.0699999999999999E-2</c:v>
                </c:pt>
                <c:pt idx="6">
                  <c:v>6.54E-2</c:v>
                </c:pt>
                <c:pt idx="7">
                  <c:v>5.57E-2</c:v>
                </c:pt>
                <c:pt idx="8">
                  <c:v>5.9700000000000003E-2</c:v>
                </c:pt>
                <c:pt idx="9">
                  <c:v>5.3400000000000003E-2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A-4F77-A1B5-73B1172BE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926928"/>
        <c:axId val="452925488"/>
      </c:lineChart>
      <c:catAx>
        <c:axId val="4529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925488"/>
        <c:crosses val="autoZero"/>
        <c:auto val="1"/>
        <c:lblAlgn val="ctr"/>
        <c:lblOffset val="100"/>
        <c:noMultiLvlLbl val="0"/>
      </c:catAx>
      <c:valAx>
        <c:axId val="4529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29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133970</xdr:colOff>
      <xdr:row>17</xdr:row>
      <xdr:rowOff>130717</xdr:rowOff>
    </xdr:from>
    <xdr:to>
      <xdr:col>15</xdr:col>
      <xdr:colOff>215660</xdr:colOff>
      <xdr:row>23</xdr:row>
      <xdr:rowOff>287547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D79F30-F793-8AE5-909E-48CA53377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73353</xdr:colOff>
      <xdr:row>30</xdr:row>
      <xdr:rowOff>89996</xdr:rowOff>
    </xdr:from>
    <xdr:to>
      <xdr:col>13</xdr:col>
      <xdr:colOff>455283</xdr:colOff>
      <xdr:row>39</xdr:row>
      <xdr:rowOff>83869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C8066D-1D43-160E-0A8C-FBC4730FC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47387</xdr:colOff>
      <xdr:row>0</xdr:row>
      <xdr:rowOff>0</xdr:rowOff>
    </xdr:from>
    <xdr:to>
      <xdr:col>15</xdr:col>
      <xdr:colOff>37335</xdr:colOff>
      <xdr:row>4</xdr:row>
      <xdr:rowOff>349196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EE4E1A3-F177-3EBE-0B32-FFD798084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6491" y="0"/>
          <a:ext cx="3629351" cy="2202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85300</xdr:colOff>
      <xdr:row>0</xdr:row>
      <xdr:rowOff>0</xdr:rowOff>
    </xdr:from>
    <xdr:to>
      <xdr:col>21</xdr:col>
      <xdr:colOff>168674</xdr:colOff>
      <xdr:row>5</xdr:row>
      <xdr:rowOff>42046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65A1F0A-A52A-FDCA-82C1-E0BB71A9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3807" y="0"/>
          <a:ext cx="3722777" cy="2274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236335</xdr:colOff>
      <xdr:row>0</xdr:row>
      <xdr:rowOff>2</xdr:rowOff>
    </xdr:from>
    <xdr:to>
      <xdr:col>27</xdr:col>
      <xdr:colOff>250384</xdr:colOff>
      <xdr:row>5</xdr:row>
      <xdr:rowOff>87396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11DE698-B0A7-A8E2-7F50-C692193C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4943" y="2"/>
          <a:ext cx="3679365" cy="232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29535</xdr:colOff>
      <xdr:row>7</xdr:row>
      <xdr:rowOff>162442</xdr:rowOff>
    </xdr:from>
    <xdr:to>
      <xdr:col>15</xdr:col>
      <xdr:colOff>354419</xdr:colOff>
      <xdr:row>15</xdr:row>
      <xdr:rowOff>34011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0E8E5D7-D1C2-5912-8AA4-A16D45BE0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721" y="2761512"/>
          <a:ext cx="3957675" cy="2816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487327</xdr:colOff>
      <xdr:row>7</xdr:row>
      <xdr:rowOff>170504</xdr:rowOff>
    </xdr:from>
    <xdr:to>
      <xdr:col>21</xdr:col>
      <xdr:colOff>578474</xdr:colOff>
      <xdr:row>15</xdr:row>
      <xdr:rowOff>37858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122EF09-6A86-10E0-B469-4DFF6BE4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304" y="2769574"/>
          <a:ext cx="3723937" cy="28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44303</xdr:colOff>
      <xdr:row>7</xdr:row>
      <xdr:rowOff>103372</xdr:rowOff>
    </xdr:from>
    <xdr:to>
      <xdr:col>28</xdr:col>
      <xdr:colOff>162443</xdr:colOff>
      <xdr:row>15</xdr:row>
      <xdr:rowOff>94031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AEB4279-B63A-A234-621F-4BAC3E8D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64536" y="2702442"/>
          <a:ext cx="3750930" cy="293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</xdr:row>
      <xdr:rowOff>152400</xdr:rowOff>
    </xdr:from>
    <xdr:to>
      <xdr:col>8</xdr:col>
      <xdr:colOff>154550</xdr:colOff>
      <xdr:row>30</xdr:row>
      <xdr:rowOff>42334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E2B69CE-16A9-171C-A4B1-E76EAC1F0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304844"/>
          <a:ext cx="5591126" cy="2274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545680</xdr:colOff>
      <xdr:row>17</xdr:row>
      <xdr:rowOff>112951</xdr:rowOff>
    </xdr:from>
    <xdr:to>
      <xdr:col>8</xdr:col>
      <xdr:colOff>142530</xdr:colOff>
      <xdr:row>26</xdr:row>
      <xdr:rowOff>5353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35FC4D5-6F6D-6758-CC59-FAAF4D7F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4990" y="6229388"/>
          <a:ext cx="3251048" cy="1534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313439</xdr:colOff>
      <xdr:row>17</xdr:row>
      <xdr:rowOff>85481</xdr:rowOff>
    </xdr:from>
    <xdr:to>
      <xdr:col>18</xdr:col>
      <xdr:colOff>522518</xdr:colOff>
      <xdr:row>30</xdr:row>
      <xdr:rowOff>140205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29D8DD4-B751-A094-C424-7BCAB2C38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8631" y="6288943"/>
          <a:ext cx="5951779" cy="243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391951</xdr:colOff>
      <xdr:row>17</xdr:row>
      <xdr:rowOff>34721</xdr:rowOff>
    </xdr:from>
    <xdr:to>
      <xdr:col>18</xdr:col>
      <xdr:colOff>198535</xdr:colOff>
      <xdr:row>25</xdr:row>
      <xdr:rowOff>122299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BFD13D1-F0B6-67BC-F30F-6BC557520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9192" y="6209549"/>
          <a:ext cx="3732712" cy="1576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109484</xdr:colOff>
      <xdr:row>16</xdr:row>
      <xdr:rowOff>87586</xdr:rowOff>
    </xdr:from>
    <xdr:to>
      <xdr:col>29</xdr:col>
      <xdr:colOff>328536</xdr:colOff>
      <xdr:row>31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04DD62C-5D8E-FF3E-EE0A-D280C724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8450" y="5912069"/>
          <a:ext cx="6501686" cy="2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122537</xdr:colOff>
      <xdr:row>17</xdr:row>
      <xdr:rowOff>115378</xdr:rowOff>
    </xdr:from>
    <xdr:to>
      <xdr:col>29</xdr:col>
      <xdr:colOff>141476</xdr:colOff>
      <xdr:row>25</xdr:row>
      <xdr:rowOff>122116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5DE7A41-F058-63FA-3CC0-15395416F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5806" y="6318840"/>
          <a:ext cx="3834002" cy="1472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15</xdr:col>
      <xdr:colOff>568057</xdr:colOff>
      <xdr:row>6</xdr:row>
      <xdr:rowOff>317500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D6FE8E-6855-400F-2996-CAEC7F23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3958" y="185208"/>
          <a:ext cx="3002224" cy="182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502707</xdr:colOff>
      <xdr:row>7</xdr:row>
      <xdr:rowOff>317501</xdr:rowOff>
    </xdr:from>
    <xdr:to>
      <xdr:col>16</xdr:col>
      <xdr:colOff>198437</xdr:colOff>
      <xdr:row>14</xdr:row>
      <xdr:rowOff>22461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A97B57E-848A-48D0-107A-2890998A0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8124" y="2341564"/>
          <a:ext cx="3346980" cy="2020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3C5E-48BD-4B04-BB1D-4DDCA388B0D6}">
  <dimension ref="A1:P1000"/>
  <sheetViews>
    <sheetView tabSelected="1" topLeftCell="A17" zoomScale="53" workbookViewId="0">
      <selection activeCell="Q35" sqref="Q35"/>
    </sheetView>
  </sheetViews>
  <sheetFormatPr defaultRowHeight="14.5" x14ac:dyDescent="0.35"/>
  <sheetData>
    <row r="1" spans="1:16" ht="26.5" thickBot="1" x14ac:dyDescent="0.4">
      <c r="A1" s="22"/>
      <c r="B1" s="22"/>
      <c r="C1" s="22"/>
      <c r="D1" s="22"/>
      <c r="E1" s="22"/>
      <c r="F1" s="22" t="s">
        <v>0</v>
      </c>
      <c r="G1" s="22"/>
      <c r="H1" s="22"/>
      <c r="I1" s="22"/>
      <c r="J1" s="22"/>
      <c r="K1" s="22"/>
      <c r="L1" s="22"/>
      <c r="M1" s="22"/>
      <c r="N1" s="22"/>
      <c r="O1" s="1"/>
      <c r="P1" s="1"/>
    </row>
    <row r="2" spans="1:16" ht="64" thickBot="1" x14ac:dyDescent="0.4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2</v>
      </c>
      <c r="G2" s="24" t="s">
        <v>3</v>
      </c>
      <c r="H2" s="24" t="s">
        <v>4</v>
      </c>
      <c r="I2" s="72" t="s">
        <v>5</v>
      </c>
      <c r="J2" s="74" t="s">
        <v>6</v>
      </c>
      <c r="K2" s="75" t="s">
        <v>7</v>
      </c>
      <c r="L2" s="75" t="s">
        <v>8</v>
      </c>
      <c r="M2" s="75" t="s">
        <v>9</v>
      </c>
      <c r="N2" s="76" t="s">
        <v>10</v>
      </c>
      <c r="O2" s="21"/>
      <c r="P2" s="1"/>
    </row>
    <row r="3" spans="1:16" ht="29.5" thickBot="1" x14ac:dyDescent="0.4">
      <c r="A3" s="24">
        <v>1</v>
      </c>
      <c r="B3" s="24" t="s">
        <v>11</v>
      </c>
      <c r="C3" s="24" t="s">
        <v>12</v>
      </c>
      <c r="D3" s="24" t="s">
        <v>13</v>
      </c>
      <c r="E3" s="24" t="s">
        <v>14</v>
      </c>
      <c r="F3" s="25">
        <v>0.1</v>
      </c>
      <c r="G3" s="26">
        <v>0.28570000000000001</v>
      </c>
      <c r="H3" s="26">
        <v>0.39600000000000002</v>
      </c>
      <c r="I3" s="73">
        <v>0.39839999999999998</v>
      </c>
      <c r="J3" s="77" t="s">
        <v>15</v>
      </c>
      <c r="K3" s="28" t="s">
        <v>16</v>
      </c>
      <c r="L3" s="28">
        <v>5.5</v>
      </c>
      <c r="M3" s="28" t="s">
        <v>17</v>
      </c>
      <c r="N3" s="78">
        <v>0.48</v>
      </c>
      <c r="O3" s="21"/>
      <c r="P3" s="1"/>
    </row>
    <row r="4" spans="1:16" ht="29.5" thickBot="1" x14ac:dyDescent="0.4">
      <c r="A4" s="24">
        <v>2</v>
      </c>
      <c r="B4" s="24" t="s">
        <v>11</v>
      </c>
      <c r="C4" s="24" t="s">
        <v>18</v>
      </c>
      <c r="D4" s="24" t="s">
        <v>19</v>
      </c>
      <c r="E4" s="24" t="s">
        <v>20</v>
      </c>
      <c r="F4" s="25">
        <v>0.1</v>
      </c>
      <c r="G4" s="26">
        <v>0.1421</v>
      </c>
      <c r="H4" s="26">
        <v>0.1706</v>
      </c>
      <c r="I4" s="73">
        <v>0.1736</v>
      </c>
      <c r="J4" s="77" t="s">
        <v>21</v>
      </c>
      <c r="K4" s="28" t="s">
        <v>22</v>
      </c>
      <c r="L4" s="28">
        <v>2.7</v>
      </c>
      <c r="M4" s="28" t="s">
        <v>23</v>
      </c>
      <c r="N4" s="78">
        <v>0.49</v>
      </c>
      <c r="O4" s="21"/>
      <c r="P4" s="1"/>
    </row>
    <row r="5" spans="1:16" ht="29.5" thickBot="1" x14ac:dyDescent="0.4">
      <c r="A5" s="24">
        <v>3</v>
      </c>
      <c r="B5" s="24" t="s">
        <v>24</v>
      </c>
      <c r="C5" s="24" t="s">
        <v>25</v>
      </c>
      <c r="D5" s="24" t="s">
        <v>26</v>
      </c>
      <c r="E5" s="24" t="s">
        <v>27</v>
      </c>
      <c r="F5" s="25">
        <v>0.1</v>
      </c>
      <c r="G5" s="26">
        <v>0.1036</v>
      </c>
      <c r="H5" s="26">
        <v>0.11749999999999999</v>
      </c>
      <c r="I5" s="73">
        <v>0.12</v>
      </c>
      <c r="J5" s="77" t="s">
        <v>28</v>
      </c>
      <c r="K5" s="28" t="s">
        <v>29</v>
      </c>
      <c r="L5" s="28">
        <v>2</v>
      </c>
      <c r="M5" s="28" t="s">
        <v>30</v>
      </c>
      <c r="N5" s="78">
        <v>0.49</v>
      </c>
      <c r="O5" s="21"/>
      <c r="P5" s="1"/>
    </row>
    <row r="6" spans="1:16" ht="29.5" thickBot="1" x14ac:dyDescent="0.4">
      <c r="A6" s="24">
        <v>4</v>
      </c>
      <c r="B6" s="24" t="s">
        <v>31</v>
      </c>
      <c r="C6" s="24" t="s">
        <v>32</v>
      </c>
      <c r="D6" s="24" t="s">
        <v>33</v>
      </c>
      <c r="E6" s="24" t="s">
        <v>34</v>
      </c>
      <c r="F6" s="25">
        <v>0.1</v>
      </c>
      <c r="G6" s="26">
        <v>8.7300000000000003E-2</v>
      </c>
      <c r="H6" s="26">
        <v>8.9099999999999999E-2</v>
      </c>
      <c r="I6" s="73">
        <v>8.9200000000000002E-2</v>
      </c>
      <c r="J6" s="77" t="s">
        <v>35</v>
      </c>
      <c r="K6" s="28" t="s">
        <v>36</v>
      </c>
      <c r="L6" s="28">
        <v>1.7</v>
      </c>
      <c r="M6" s="28" t="s">
        <v>37</v>
      </c>
      <c r="N6" s="78">
        <v>0.48</v>
      </c>
      <c r="O6" s="21"/>
      <c r="P6" s="1"/>
    </row>
    <row r="7" spans="1:16" ht="29.5" thickBot="1" x14ac:dyDescent="0.4">
      <c r="A7" s="24">
        <v>5</v>
      </c>
      <c r="B7" s="24" t="s">
        <v>38</v>
      </c>
      <c r="C7" s="24" t="s">
        <v>39</v>
      </c>
      <c r="D7" s="24" t="s">
        <v>40</v>
      </c>
      <c r="E7" s="24" t="s">
        <v>41</v>
      </c>
      <c r="F7" s="25">
        <v>0.1</v>
      </c>
      <c r="G7" s="26">
        <v>7.6399999999999996E-2</v>
      </c>
      <c r="H7" s="26">
        <v>6.93E-2</v>
      </c>
      <c r="I7" s="73">
        <v>6.88E-2</v>
      </c>
      <c r="J7" s="77" t="s">
        <v>42</v>
      </c>
      <c r="K7" s="28" t="s">
        <v>43</v>
      </c>
      <c r="L7" s="28">
        <v>1.5</v>
      </c>
      <c r="M7" s="28" t="s">
        <v>44</v>
      </c>
      <c r="N7" s="78">
        <v>0.48</v>
      </c>
      <c r="O7" s="21"/>
      <c r="P7" s="1"/>
    </row>
    <row r="8" spans="1:16" ht="29.5" thickBot="1" x14ac:dyDescent="0.4">
      <c r="A8" s="24">
        <v>6</v>
      </c>
      <c r="B8" s="24" t="s">
        <v>45</v>
      </c>
      <c r="C8" s="24" t="s">
        <v>46</v>
      </c>
      <c r="D8" s="24" t="s">
        <v>47</v>
      </c>
      <c r="E8" s="24" t="s">
        <v>48</v>
      </c>
      <c r="F8" s="25">
        <v>0.1</v>
      </c>
      <c r="G8" s="26">
        <v>7.0699999999999999E-2</v>
      </c>
      <c r="H8" s="26">
        <v>5.2699999999999997E-2</v>
      </c>
      <c r="I8" s="73">
        <v>5.0900000000000001E-2</v>
      </c>
      <c r="J8" s="77" t="s">
        <v>49</v>
      </c>
      <c r="K8" s="28" t="s">
        <v>50</v>
      </c>
      <c r="L8" s="28">
        <v>1.4</v>
      </c>
      <c r="M8" s="28" t="s">
        <v>51</v>
      </c>
      <c r="N8" s="78">
        <v>0.46</v>
      </c>
      <c r="O8" s="21"/>
      <c r="P8" s="1"/>
    </row>
    <row r="9" spans="1:16" ht="29.5" thickBot="1" x14ac:dyDescent="0.4">
      <c r="A9" s="24">
        <v>7</v>
      </c>
      <c r="B9" s="24" t="s">
        <v>52</v>
      </c>
      <c r="C9" s="24" t="s">
        <v>53</v>
      </c>
      <c r="D9" s="24" t="s">
        <v>54</v>
      </c>
      <c r="E9" s="24" t="s">
        <v>55</v>
      </c>
      <c r="F9" s="25">
        <v>0.1</v>
      </c>
      <c r="G9" s="26">
        <v>6.54E-2</v>
      </c>
      <c r="H9" s="26">
        <v>4.1399999999999999E-2</v>
      </c>
      <c r="I9" s="73">
        <v>0.04</v>
      </c>
      <c r="J9" s="77" t="s">
        <v>56</v>
      </c>
      <c r="K9" s="28" t="s">
        <v>57</v>
      </c>
      <c r="L9" s="28">
        <v>1.2</v>
      </c>
      <c r="M9" s="28" t="s">
        <v>58</v>
      </c>
      <c r="N9" s="78">
        <v>0.46</v>
      </c>
      <c r="O9" s="21"/>
      <c r="P9" s="1"/>
    </row>
    <row r="10" spans="1:16" ht="15" thickBot="1" x14ac:dyDescent="0.4">
      <c r="A10" s="24">
        <v>8</v>
      </c>
      <c r="B10" s="24" t="s">
        <v>59</v>
      </c>
      <c r="C10" s="24" t="s">
        <v>60</v>
      </c>
      <c r="D10" s="24" t="s">
        <v>61</v>
      </c>
      <c r="E10" s="24" t="s">
        <v>62</v>
      </c>
      <c r="F10" s="25">
        <v>0.09</v>
      </c>
      <c r="G10" s="26">
        <v>5.57E-2</v>
      </c>
      <c r="H10" s="26">
        <v>2.8799999999999999E-2</v>
      </c>
      <c r="I10" s="73">
        <v>2.7699999999999999E-2</v>
      </c>
      <c r="J10" s="77" t="s">
        <v>63</v>
      </c>
      <c r="K10" s="28" t="s">
        <v>64</v>
      </c>
      <c r="L10" s="28">
        <v>1.1000000000000001</v>
      </c>
      <c r="M10" s="28" t="s">
        <v>65</v>
      </c>
      <c r="N10" s="78">
        <v>0.46</v>
      </c>
      <c r="O10" s="21"/>
      <c r="P10" s="1"/>
    </row>
    <row r="11" spans="1:16" ht="15" thickBot="1" x14ac:dyDescent="0.4">
      <c r="A11" s="24">
        <v>9</v>
      </c>
      <c r="B11" s="24" t="s">
        <v>66</v>
      </c>
      <c r="C11" s="24" t="s">
        <v>67</v>
      </c>
      <c r="D11" s="24" t="s">
        <v>68</v>
      </c>
      <c r="E11" s="24" t="s">
        <v>69</v>
      </c>
      <c r="F11" s="25">
        <v>0.11</v>
      </c>
      <c r="G11" s="26">
        <v>5.9700000000000003E-2</v>
      </c>
      <c r="H11" s="26">
        <v>2.3E-2</v>
      </c>
      <c r="I11" s="73">
        <v>2.1399999999999999E-2</v>
      </c>
      <c r="J11" s="77" t="s">
        <v>70</v>
      </c>
      <c r="K11" s="28">
        <v>992.29</v>
      </c>
      <c r="L11" s="28">
        <v>1.1000000000000001</v>
      </c>
      <c r="M11" s="28" t="s">
        <v>71</v>
      </c>
      <c r="N11" s="78">
        <v>0.44</v>
      </c>
      <c r="O11" s="21"/>
      <c r="P11" s="1"/>
    </row>
    <row r="12" spans="1:16" ht="15" thickBot="1" x14ac:dyDescent="0.4">
      <c r="A12" s="24">
        <v>10</v>
      </c>
      <c r="B12" s="24" t="s">
        <v>72</v>
      </c>
      <c r="C12" s="24" t="s">
        <v>73</v>
      </c>
      <c r="D12" s="24" t="s">
        <v>74</v>
      </c>
      <c r="E12" s="24" t="s">
        <v>75</v>
      </c>
      <c r="F12" s="25">
        <v>0.1</v>
      </c>
      <c r="G12" s="26">
        <v>5.3400000000000003E-2</v>
      </c>
      <c r="H12" s="26">
        <v>1.15E-2</v>
      </c>
      <c r="I12" s="73">
        <v>0.01</v>
      </c>
      <c r="J12" s="77" t="s">
        <v>76</v>
      </c>
      <c r="K12" s="28">
        <v>488.01</v>
      </c>
      <c r="L12" s="28">
        <v>1</v>
      </c>
      <c r="M12" s="28" t="s">
        <v>77</v>
      </c>
      <c r="N12" s="78">
        <v>0.42</v>
      </c>
      <c r="O12" s="21"/>
      <c r="P12" s="1"/>
    </row>
    <row r="13" spans="1:16" ht="29.5" thickBot="1" x14ac:dyDescent="0.4">
      <c r="A13" s="27" t="s">
        <v>78</v>
      </c>
      <c r="B13" s="24" t="s">
        <v>79</v>
      </c>
      <c r="C13" s="24" t="s">
        <v>80</v>
      </c>
      <c r="D13" s="24" t="s">
        <v>81</v>
      </c>
      <c r="E13" s="24" t="s">
        <v>82</v>
      </c>
      <c r="F13" s="26">
        <v>1</v>
      </c>
      <c r="G13" s="26">
        <v>1</v>
      </c>
      <c r="H13" s="26">
        <v>1</v>
      </c>
      <c r="I13" s="73">
        <v>1</v>
      </c>
      <c r="J13" s="79"/>
      <c r="K13" s="80" t="s">
        <v>83</v>
      </c>
      <c r="L13" s="80">
        <v>1.9</v>
      </c>
      <c r="M13" s="80" t="s">
        <v>84</v>
      </c>
      <c r="N13" s="81">
        <v>0.48</v>
      </c>
      <c r="O13" s="21"/>
      <c r="P13" s="1"/>
    </row>
    <row r="14" spans="1:16" ht="15" thickBot="1" x14ac:dyDescent="0.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"/>
      <c r="P14" s="1"/>
    </row>
    <row r="15" spans="1:16" ht="15" thickBot="1" x14ac:dyDescent="0.4">
      <c r="A15" s="4" t="s">
        <v>85</v>
      </c>
      <c r="B15" s="1"/>
      <c r="C15" s="1"/>
      <c r="D15" s="1"/>
      <c r="E15" s="1"/>
      <c r="F15" s="1"/>
      <c r="G15" s="5" t="s">
        <v>86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64" thickBot="1" x14ac:dyDescent="0.4">
      <c r="A16" s="6" t="s">
        <v>1</v>
      </c>
      <c r="B16" s="7" t="s">
        <v>87</v>
      </c>
      <c r="C16" s="7" t="s">
        <v>88</v>
      </c>
      <c r="D16" s="1" t="s">
        <v>89</v>
      </c>
      <c r="E16" s="1"/>
      <c r="F16" s="1"/>
      <c r="G16" s="6" t="s">
        <v>1</v>
      </c>
      <c r="H16" s="7" t="s">
        <v>90</v>
      </c>
      <c r="I16" s="7" t="s">
        <v>90</v>
      </c>
      <c r="J16" s="7" t="s">
        <v>91</v>
      </c>
      <c r="K16" s="7" t="s">
        <v>91</v>
      </c>
      <c r="L16" s="1" t="s">
        <v>89</v>
      </c>
      <c r="M16" s="1"/>
      <c r="N16" s="1"/>
      <c r="O16" s="1"/>
      <c r="P16" s="1"/>
    </row>
    <row r="17" spans="1:16" ht="27" thickTop="1" thickBot="1" x14ac:dyDescent="0.4">
      <c r="A17" s="8">
        <v>1</v>
      </c>
      <c r="B17" s="9" t="s">
        <v>11</v>
      </c>
      <c r="C17" s="9">
        <v>5.5</v>
      </c>
      <c r="D17" s="10" t="s">
        <v>92</v>
      </c>
      <c r="E17" s="1"/>
      <c r="F17" s="1"/>
      <c r="G17" s="8">
        <v>1</v>
      </c>
      <c r="H17" s="11">
        <v>0.39600000000000002</v>
      </c>
      <c r="I17" s="9" t="s">
        <v>13</v>
      </c>
      <c r="J17" s="9" t="s">
        <v>14</v>
      </c>
      <c r="K17" s="11">
        <v>0.39839999999999998</v>
      </c>
      <c r="L17" s="10" t="s">
        <v>93</v>
      </c>
      <c r="M17" s="1"/>
      <c r="N17" s="1"/>
      <c r="O17" s="1"/>
      <c r="P17" s="1"/>
    </row>
    <row r="18" spans="1:16" ht="26.5" thickBot="1" x14ac:dyDescent="0.4">
      <c r="A18" s="8">
        <v>2</v>
      </c>
      <c r="B18" s="9" t="s">
        <v>11</v>
      </c>
      <c r="C18" s="9">
        <v>2.7</v>
      </c>
      <c r="D18" s="1"/>
      <c r="E18" s="1"/>
      <c r="F18" s="1"/>
      <c r="G18" s="8">
        <v>2</v>
      </c>
      <c r="H18" s="11">
        <v>0.1706</v>
      </c>
      <c r="I18" s="9" t="s">
        <v>19</v>
      </c>
      <c r="J18" s="9" t="s">
        <v>20</v>
      </c>
      <c r="K18" s="11">
        <v>0.1736</v>
      </c>
      <c r="L18" s="1"/>
      <c r="M18" s="1"/>
      <c r="N18" s="1"/>
      <c r="O18" s="1"/>
      <c r="P18" s="1"/>
    </row>
    <row r="19" spans="1:16" ht="26.5" thickBot="1" x14ac:dyDescent="0.4">
      <c r="A19" s="8">
        <v>3</v>
      </c>
      <c r="B19" s="9" t="s">
        <v>24</v>
      </c>
      <c r="C19" s="9">
        <v>2</v>
      </c>
      <c r="D19" s="1"/>
      <c r="E19" s="1"/>
      <c r="F19" s="1"/>
      <c r="G19" s="8">
        <v>3</v>
      </c>
      <c r="H19" s="11">
        <v>0.11749999999999999</v>
      </c>
      <c r="I19" s="9" t="s">
        <v>26</v>
      </c>
      <c r="J19" s="9" t="s">
        <v>27</v>
      </c>
      <c r="K19" s="11">
        <v>0.12</v>
      </c>
      <c r="L19" s="1"/>
      <c r="M19" s="1"/>
      <c r="N19" s="1"/>
      <c r="O19" s="1"/>
      <c r="P19" s="1"/>
    </row>
    <row r="20" spans="1:16" ht="26.5" thickBot="1" x14ac:dyDescent="0.4">
      <c r="A20" s="8">
        <v>4</v>
      </c>
      <c r="B20" s="9" t="s">
        <v>31</v>
      </c>
      <c r="C20" s="9">
        <v>1.7</v>
      </c>
      <c r="D20" s="1"/>
      <c r="E20" s="1"/>
      <c r="F20" s="1"/>
      <c r="G20" s="8">
        <v>4</v>
      </c>
      <c r="H20" s="11">
        <v>8.9099999999999999E-2</v>
      </c>
      <c r="I20" s="9" t="s">
        <v>33</v>
      </c>
      <c r="J20" s="9" t="s">
        <v>34</v>
      </c>
      <c r="K20" s="11">
        <v>8.9200000000000002E-2</v>
      </c>
      <c r="L20" s="1"/>
      <c r="M20" s="1"/>
      <c r="N20" s="1"/>
      <c r="O20" s="1"/>
      <c r="P20" s="1"/>
    </row>
    <row r="21" spans="1:16" ht="26.5" thickBot="1" x14ac:dyDescent="0.4">
      <c r="A21" s="8">
        <v>5</v>
      </c>
      <c r="B21" s="9" t="s">
        <v>38</v>
      </c>
      <c r="C21" s="9">
        <v>1.5</v>
      </c>
      <c r="D21" s="1"/>
      <c r="E21" s="1"/>
      <c r="F21" s="1"/>
      <c r="G21" s="8">
        <v>5</v>
      </c>
      <c r="H21" s="11">
        <v>6.93E-2</v>
      </c>
      <c r="I21" s="9" t="s">
        <v>40</v>
      </c>
      <c r="J21" s="9" t="s">
        <v>41</v>
      </c>
      <c r="K21" s="11">
        <v>6.88E-2</v>
      </c>
      <c r="L21" s="1"/>
      <c r="M21" s="1"/>
      <c r="N21" s="1"/>
      <c r="O21" s="1"/>
      <c r="P21" s="1"/>
    </row>
    <row r="22" spans="1:16" ht="26.5" thickBot="1" x14ac:dyDescent="0.4">
      <c r="A22" s="8">
        <v>6</v>
      </c>
      <c r="B22" s="9" t="s">
        <v>45</v>
      </c>
      <c r="C22" s="9">
        <v>1.4</v>
      </c>
      <c r="D22" s="1"/>
      <c r="E22" s="1"/>
      <c r="F22" s="1"/>
      <c r="G22" s="8">
        <v>6</v>
      </c>
      <c r="H22" s="11">
        <v>5.2699999999999997E-2</v>
      </c>
      <c r="I22" s="9" t="s">
        <v>47</v>
      </c>
      <c r="J22" s="9" t="s">
        <v>48</v>
      </c>
      <c r="K22" s="11">
        <v>5.0900000000000001E-2</v>
      </c>
      <c r="L22" s="1"/>
      <c r="M22" s="1"/>
      <c r="N22" s="1"/>
      <c r="O22" s="1"/>
      <c r="P22" s="1"/>
    </row>
    <row r="23" spans="1:16" ht="26.5" thickBot="1" x14ac:dyDescent="0.4">
      <c r="A23" s="8">
        <v>7</v>
      </c>
      <c r="B23" s="9" t="s">
        <v>52</v>
      </c>
      <c r="C23" s="9">
        <v>1.2</v>
      </c>
      <c r="D23" s="1"/>
      <c r="E23" s="1"/>
      <c r="F23" s="1"/>
      <c r="G23" s="8">
        <v>7</v>
      </c>
      <c r="H23" s="11">
        <v>4.1399999999999999E-2</v>
      </c>
      <c r="I23" s="9" t="s">
        <v>54</v>
      </c>
      <c r="J23" s="9" t="s">
        <v>55</v>
      </c>
      <c r="K23" s="11">
        <v>0.04</v>
      </c>
      <c r="L23" s="1"/>
      <c r="M23" s="1"/>
      <c r="N23" s="1"/>
      <c r="O23" s="1"/>
      <c r="P23" s="1"/>
    </row>
    <row r="24" spans="1:16" ht="26.5" thickBot="1" x14ac:dyDescent="0.4">
      <c r="A24" s="8">
        <v>8</v>
      </c>
      <c r="B24" s="9" t="s">
        <v>59</v>
      </c>
      <c r="C24" s="9">
        <v>1.1000000000000001</v>
      </c>
      <c r="D24" s="1"/>
      <c r="E24" s="1"/>
      <c r="F24" s="1"/>
      <c r="G24" s="8">
        <v>8</v>
      </c>
      <c r="H24" s="11">
        <v>2.8799999999999999E-2</v>
      </c>
      <c r="I24" s="9" t="s">
        <v>61</v>
      </c>
      <c r="J24" s="9" t="s">
        <v>62</v>
      </c>
      <c r="K24" s="11">
        <v>2.7699999999999999E-2</v>
      </c>
      <c r="L24" s="1"/>
      <c r="M24" s="1"/>
      <c r="N24" s="1"/>
      <c r="O24" s="1"/>
      <c r="P24" s="1"/>
    </row>
    <row r="25" spans="1:16" ht="26.5" thickBot="1" x14ac:dyDescent="0.4">
      <c r="A25" s="8">
        <v>9</v>
      </c>
      <c r="B25" s="9" t="s">
        <v>66</v>
      </c>
      <c r="C25" s="9">
        <v>1.1000000000000001</v>
      </c>
      <c r="D25" s="1"/>
      <c r="E25" s="1"/>
      <c r="F25" s="1"/>
      <c r="G25" s="8">
        <v>9</v>
      </c>
      <c r="H25" s="11">
        <v>2.3E-2</v>
      </c>
      <c r="I25" s="9" t="s">
        <v>68</v>
      </c>
      <c r="J25" s="9" t="s">
        <v>69</v>
      </c>
      <c r="K25" s="11">
        <v>2.1399999999999999E-2</v>
      </c>
      <c r="L25" s="1"/>
      <c r="M25" s="1"/>
      <c r="N25" s="1"/>
      <c r="O25" s="1"/>
      <c r="P25" s="1"/>
    </row>
    <row r="26" spans="1:16" ht="26.5" thickBot="1" x14ac:dyDescent="0.4">
      <c r="A26" s="12">
        <v>10</v>
      </c>
      <c r="B26" s="13" t="s">
        <v>72</v>
      </c>
      <c r="C26" s="13">
        <v>1</v>
      </c>
      <c r="D26" s="1"/>
      <c r="E26" s="1"/>
      <c r="F26" s="1"/>
      <c r="G26" s="12">
        <v>10</v>
      </c>
      <c r="H26" s="14">
        <v>1.15E-2</v>
      </c>
      <c r="I26" s="13" t="s">
        <v>74</v>
      </c>
      <c r="J26" s="13" t="s">
        <v>75</v>
      </c>
      <c r="K26" s="14">
        <v>0.01</v>
      </c>
      <c r="L26" s="1"/>
      <c r="M26" s="1"/>
      <c r="N26" s="1"/>
      <c r="O26" s="1"/>
      <c r="P26" s="1"/>
    </row>
    <row r="27" spans="1:16" ht="27.5" thickTop="1" thickBot="1" x14ac:dyDescent="0.4">
      <c r="A27" s="15" t="s">
        <v>94</v>
      </c>
      <c r="B27" s="16" t="s">
        <v>79</v>
      </c>
      <c r="C27" s="16">
        <v>19.3</v>
      </c>
      <c r="D27" s="1"/>
      <c r="E27" s="1"/>
      <c r="F27" s="1"/>
      <c r="G27" s="15" t="s">
        <v>94</v>
      </c>
      <c r="H27" s="17">
        <v>1</v>
      </c>
      <c r="I27" s="16" t="s">
        <v>81</v>
      </c>
      <c r="J27" s="16" t="s">
        <v>82</v>
      </c>
      <c r="K27" s="17">
        <v>1</v>
      </c>
      <c r="L27" s="1"/>
      <c r="M27" s="1"/>
      <c r="N27" s="1"/>
      <c r="O27" s="1"/>
      <c r="P27" s="1"/>
    </row>
    <row r="28" spans="1:16" ht="15" thickBot="1" x14ac:dyDescent="0.4">
      <c r="A28" s="5" t="s">
        <v>95</v>
      </c>
      <c r="B28" s="1"/>
      <c r="C28" s="1"/>
      <c r="D28" s="1"/>
      <c r="E28" s="1"/>
      <c r="F28" s="1"/>
      <c r="G28" s="5" t="s">
        <v>96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76.5" thickBot="1" x14ac:dyDescent="0.4">
      <c r="A29" s="6" t="s">
        <v>1</v>
      </c>
      <c r="B29" s="7" t="s">
        <v>97</v>
      </c>
      <c r="C29" s="7" t="s">
        <v>98</v>
      </c>
      <c r="D29" s="1" t="s">
        <v>89</v>
      </c>
      <c r="E29" s="1"/>
      <c r="F29" s="1"/>
      <c r="G29" s="6" t="s">
        <v>1</v>
      </c>
      <c r="H29" s="7" t="s">
        <v>99</v>
      </c>
      <c r="I29" s="7" t="s">
        <v>99</v>
      </c>
      <c r="J29" s="1" t="s">
        <v>89</v>
      </c>
      <c r="K29" s="1"/>
      <c r="L29" s="1"/>
      <c r="M29" s="1"/>
      <c r="N29" s="1"/>
      <c r="O29" s="1"/>
      <c r="P29" s="1"/>
    </row>
    <row r="30" spans="1:16" ht="15.5" thickTop="1" thickBot="1" x14ac:dyDescent="0.4">
      <c r="A30" s="8">
        <v>1</v>
      </c>
      <c r="B30" s="9" t="s">
        <v>17</v>
      </c>
      <c r="C30" s="18">
        <v>0.48</v>
      </c>
      <c r="D30" s="10" t="s">
        <v>100</v>
      </c>
      <c r="E30" s="1"/>
      <c r="F30" s="1"/>
      <c r="G30" s="8">
        <v>1</v>
      </c>
      <c r="H30" s="11">
        <v>0.28570000000000001</v>
      </c>
      <c r="I30" s="9" t="s">
        <v>12</v>
      </c>
      <c r="J30" s="10" t="s">
        <v>101</v>
      </c>
      <c r="K30" s="1"/>
      <c r="L30" s="1"/>
      <c r="M30" s="1"/>
      <c r="N30" s="1"/>
      <c r="O30" s="1"/>
      <c r="P30" s="1"/>
    </row>
    <row r="31" spans="1:16" ht="15" thickBot="1" x14ac:dyDescent="0.4">
      <c r="A31" s="8">
        <v>2</v>
      </c>
      <c r="B31" s="9" t="s">
        <v>23</v>
      </c>
      <c r="C31" s="18">
        <v>0.49</v>
      </c>
      <c r="D31" s="1"/>
      <c r="E31" s="1"/>
      <c r="F31" s="1"/>
      <c r="G31" s="8">
        <v>2</v>
      </c>
      <c r="H31" s="11">
        <v>0.1421</v>
      </c>
      <c r="I31" s="9" t="s">
        <v>18</v>
      </c>
      <c r="J31" s="1"/>
      <c r="K31" s="1"/>
      <c r="L31" s="1"/>
      <c r="M31" s="1"/>
      <c r="N31" s="1"/>
      <c r="O31" s="1"/>
      <c r="P31" s="1"/>
    </row>
    <row r="32" spans="1:16" ht="15" thickBot="1" x14ac:dyDescent="0.4">
      <c r="A32" s="8">
        <v>3</v>
      </c>
      <c r="B32" s="9" t="s">
        <v>30</v>
      </c>
      <c r="C32" s="18">
        <v>0.49</v>
      </c>
      <c r="D32" s="1"/>
      <c r="E32" s="1"/>
      <c r="F32" s="1"/>
      <c r="G32" s="8">
        <v>3</v>
      </c>
      <c r="H32" s="11">
        <v>0.1036</v>
      </c>
      <c r="I32" s="9" t="s">
        <v>25</v>
      </c>
      <c r="J32" s="1"/>
      <c r="K32" s="1"/>
      <c r="L32" s="1"/>
      <c r="M32" s="1"/>
      <c r="N32" s="1"/>
      <c r="O32" s="1"/>
      <c r="P32" s="1"/>
    </row>
    <row r="33" spans="1:16" ht="15" thickBot="1" x14ac:dyDescent="0.4">
      <c r="A33" s="8">
        <v>4</v>
      </c>
      <c r="B33" s="9" t="s">
        <v>37</v>
      </c>
      <c r="C33" s="18">
        <v>0.48</v>
      </c>
      <c r="D33" s="1"/>
      <c r="E33" s="1"/>
      <c r="F33" s="1"/>
      <c r="G33" s="8">
        <v>4</v>
      </c>
      <c r="H33" s="11">
        <v>8.7300000000000003E-2</v>
      </c>
      <c r="I33" s="9" t="s">
        <v>32</v>
      </c>
      <c r="J33" s="1"/>
      <c r="K33" s="1"/>
      <c r="L33" s="1"/>
      <c r="M33" s="1"/>
      <c r="N33" s="1"/>
      <c r="O33" s="1"/>
      <c r="P33" s="1"/>
    </row>
    <row r="34" spans="1:16" ht="15" thickBot="1" x14ac:dyDescent="0.4">
      <c r="A34" s="8">
        <v>5</v>
      </c>
      <c r="B34" s="9" t="s">
        <v>44</v>
      </c>
      <c r="C34" s="18">
        <v>0.48</v>
      </c>
      <c r="D34" s="1"/>
      <c r="E34" s="1"/>
      <c r="F34" s="1"/>
      <c r="G34" s="8">
        <v>5</v>
      </c>
      <c r="H34" s="11">
        <v>7.6399999999999996E-2</v>
      </c>
      <c r="I34" s="9" t="s">
        <v>39</v>
      </c>
      <c r="J34" s="1"/>
      <c r="K34" s="1"/>
      <c r="L34" s="1"/>
      <c r="M34" s="1"/>
      <c r="N34" s="1"/>
      <c r="O34" s="1"/>
      <c r="P34" s="1"/>
    </row>
    <row r="35" spans="1:16" ht="15" thickBot="1" x14ac:dyDescent="0.4">
      <c r="A35" s="8">
        <v>6</v>
      </c>
      <c r="B35" s="9" t="s">
        <v>51</v>
      </c>
      <c r="C35" s="18">
        <v>0.46</v>
      </c>
      <c r="D35" s="1"/>
      <c r="E35" s="1"/>
      <c r="F35" s="1"/>
      <c r="G35" s="8">
        <v>6</v>
      </c>
      <c r="H35" s="11">
        <v>7.0699999999999999E-2</v>
      </c>
      <c r="I35" s="9" t="s">
        <v>46</v>
      </c>
      <c r="J35" s="1"/>
      <c r="K35" s="1"/>
      <c r="L35" s="1"/>
      <c r="M35" s="1"/>
      <c r="N35" s="1"/>
      <c r="O35" s="1"/>
      <c r="P35" s="1"/>
    </row>
    <row r="36" spans="1:16" ht="15" thickBot="1" x14ac:dyDescent="0.4">
      <c r="A36" s="8">
        <v>7</v>
      </c>
      <c r="B36" s="9" t="s">
        <v>58</v>
      </c>
      <c r="C36" s="18">
        <v>0.46</v>
      </c>
      <c r="D36" s="1"/>
      <c r="E36" s="1"/>
      <c r="F36" s="1"/>
      <c r="G36" s="8">
        <v>7</v>
      </c>
      <c r="H36" s="11">
        <v>6.54E-2</v>
      </c>
      <c r="I36" s="9" t="s">
        <v>53</v>
      </c>
      <c r="J36" s="1"/>
      <c r="K36" s="1"/>
      <c r="L36" s="1"/>
      <c r="M36" s="1"/>
      <c r="N36" s="1"/>
      <c r="O36" s="1"/>
      <c r="P36" s="1"/>
    </row>
    <row r="37" spans="1:16" ht="15" thickBot="1" x14ac:dyDescent="0.4">
      <c r="A37" s="8">
        <v>8</v>
      </c>
      <c r="B37" s="9" t="s">
        <v>65</v>
      </c>
      <c r="C37" s="18">
        <v>0.46</v>
      </c>
      <c r="D37" s="1"/>
      <c r="E37" s="1"/>
      <c r="F37" s="1"/>
      <c r="G37" s="8">
        <v>8</v>
      </c>
      <c r="H37" s="11">
        <v>5.57E-2</v>
      </c>
      <c r="I37" s="9" t="s">
        <v>60</v>
      </c>
      <c r="J37" s="1"/>
      <c r="K37" s="1"/>
      <c r="L37" s="1"/>
      <c r="M37" s="1"/>
      <c r="N37" s="1"/>
      <c r="O37" s="1"/>
      <c r="P37" s="1"/>
    </row>
    <row r="38" spans="1:16" ht="15" thickBot="1" x14ac:dyDescent="0.4">
      <c r="A38" s="8">
        <v>9</v>
      </c>
      <c r="B38" s="9" t="s">
        <v>71</v>
      </c>
      <c r="C38" s="18">
        <v>0.44</v>
      </c>
      <c r="D38" s="1"/>
      <c r="E38" s="1"/>
      <c r="F38" s="1"/>
      <c r="G38" s="8">
        <v>9</v>
      </c>
      <c r="H38" s="11">
        <v>5.9700000000000003E-2</v>
      </c>
      <c r="I38" s="9" t="s">
        <v>67</v>
      </c>
      <c r="J38" s="1"/>
      <c r="K38" s="1"/>
      <c r="L38" s="1"/>
      <c r="M38" s="1"/>
      <c r="N38" s="1"/>
      <c r="O38" s="1"/>
      <c r="P38" s="1"/>
    </row>
    <row r="39" spans="1:16" ht="15" thickBot="1" x14ac:dyDescent="0.4">
      <c r="A39" s="12">
        <v>10</v>
      </c>
      <c r="B39" s="13" t="s">
        <v>77</v>
      </c>
      <c r="C39" s="19">
        <v>0.42</v>
      </c>
      <c r="D39" s="1"/>
      <c r="E39" s="1"/>
      <c r="F39" s="1"/>
      <c r="G39" s="12">
        <v>10</v>
      </c>
      <c r="H39" s="14">
        <v>5.3400000000000003E-2</v>
      </c>
      <c r="I39" s="13" t="s">
        <v>73</v>
      </c>
      <c r="J39" s="1"/>
      <c r="K39" s="1"/>
      <c r="L39" s="1"/>
      <c r="M39" s="1"/>
      <c r="N39" s="1"/>
      <c r="O39" s="1"/>
      <c r="P39" s="1"/>
    </row>
    <row r="40" spans="1:16" ht="27.5" thickTop="1" thickBot="1" x14ac:dyDescent="0.4">
      <c r="A40" s="15" t="s">
        <v>94</v>
      </c>
      <c r="B40" s="16" t="s">
        <v>102</v>
      </c>
      <c r="C40" s="20">
        <v>4.66</v>
      </c>
      <c r="D40" s="1"/>
      <c r="E40" s="1"/>
      <c r="F40" s="1"/>
      <c r="G40" s="15" t="s">
        <v>94</v>
      </c>
      <c r="H40" s="17">
        <v>1</v>
      </c>
      <c r="I40" s="16" t="s">
        <v>80</v>
      </c>
      <c r="J40" s="1"/>
      <c r="K40" s="1"/>
      <c r="L40" s="1"/>
      <c r="M40" s="1"/>
      <c r="N40" s="1"/>
      <c r="O40" s="1"/>
      <c r="P40" s="1"/>
    </row>
    <row r="41" spans="1:1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459D-035F-4814-8061-3FB33F9C8E62}">
  <dimension ref="A1:I18"/>
  <sheetViews>
    <sheetView zoomScale="55" workbookViewId="0">
      <selection activeCell="F1" sqref="F1:I17"/>
    </sheetView>
  </sheetViews>
  <sheetFormatPr defaultRowHeight="14.5" x14ac:dyDescent="0.35"/>
  <sheetData>
    <row r="1" spans="1:9" ht="58.5" thickBot="1" x14ac:dyDescent="0.4">
      <c r="A1" s="29" t="s">
        <v>103</v>
      </c>
      <c r="B1" s="29" t="s">
        <v>2</v>
      </c>
      <c r="C1" s="29" t="s">
        <v>3</v>
      </c>
      <c r="D1" s="29" t="s">
        <v>4</v>
      </c>
      <c r="E1" s="61" t="s">
        <v>5</v>
      </c>
      <c r="F1" s="64" t="s">
        <v>104</v>
      </c>
      <c r="G1" s="65" t="s">
        <v>105</v>
      </c>
      <c r="H1" s="65" t="s">
        <v>106</v>
      </c>
      <c r="I1" s="66" t="s">
        <v>107</v>
      </c>
    </row>
    <row r="2" spans="1:9" ht="29.5" thickBot="1" x14ac:dyDescent="0.4">
      <c r="A2" s="30" t="s">
        <v>108</v>
      </c>
      <c r="B2" s="30">
        <v>2.9430000000000001</v>
      </c>
      <c r="C2" s="30">
        <v>3.6829999999999998</v>
      </c>
      <c r="D2" s="30" t="s">
        <v>124</v>
      </c>
      <c r="E2" s="62" t="s">
        <v>125</v>
      </c>
      <c r="F2" s="67">
        <v>9.4</v>
      </c>
      <c r="G2" s="31">
        <v>7409</v>
      </c>
      <c r="H2" s="31">
        <v>1.3</v>
      </c>
      <c r="I2" s="68">
        <v>5920</v>
      </c>
    </row>
    <row r="3" spans="1:9" ht="29.5" thickBot="1" x14ac:dyDescent="0.4">
      <c r="A3" s="30" t="s">
        <v>109</v>
      </c>
      <c r="B3" s="30">
        <v>346</v>
      </c>
      <c r="C3" s="30">
        <v>513</v>
      </c>
      <c r="D3" s="30" t="s">
        <v>126</v>
      </c>
      <c r="E3" s="62" t="s">
        <v>127</v>
      </c>
      <c r="F3" s="67">
        <v>1.1100000000000001</v>
      </c>
      <c r="G3" s="31">
        <v>7991</v>
      </c>
      <c r="H3" s="31">
        <v>1.5</v>
      </c>
      <c r="I3" s="68">
        <v>5390</v>
      </c>
    </row>
    <row r="4" spans="1:9" ht="29.5" thickBot="1" x14ac:dyDescent="0.4">
      <c r="A4" s="30" t="s">
        <v>110</v>
      </c>
      <c r="B4" s="30">
        <v>313</v>
      </c>
      <c r="C4" s="30">
        <v>451</v>
      </c>
      <c r="D4" s="30" t="s">
        <v>128</v>
      </c>
      <c r="E4" s="62" t="s">
        <v>129</v>
      </c>
      <c r="F4" s="67">
        <v>1</v>
      </c>
      <c r="G4" s="31">
        <v>7515</v>
      </c>
      <c r="H4" s="31">
        <v>1.4</v>
      </c>
      <c r="I4" s="68">
        <v>5215</v>
      </c>
    </row>
    <row r="5" spans="1:9" ht="29.5" thickBot="1" x14ac:dyDescent="0.4">
      <c r="A5" s="30" t="s">
        <v>111</v>
      </c>
      <c r="B5" s="30">
        <v>485</v>
      </c>
      <c r="C5" s="30">
        <v>819</v>
      </c>
      <c r="D5" s="30" t="s">
        <v>130</v>
      </c>
      <c r="E5" s="62" t="s">
        <v>131</v>
      </c>
      <c r="F5" s="67">
        <v>1.55</v>
      </c>
      <c r="G5" s="31">
        <v>9676</v>
      </c>
      <c r="H5" s="31">
        <v>1.7</v>
      </c>
      <c r="I5" s="68">
        <v>5730</v>
      </c>
    </row>
    <row r="6" spans="1:9" ht="29.5" thickBot="1" x14ac:dyDescent="0.4">
      <c r="A6" s="30" t="s">
        <v>112</v>
      </c>
      <c r="B6" s="30">
        <v>296</v>
      </c>
      <c r="C6" s="30">
        <v>435</v>
      </c>
      <c r="D6" s="30" t="s">
        <v>132</v>
      </c>
      <c r="E6" s="62" t="s">
        <v>133</v>
      </c>
      <c r="F6" s="67">
        <v>0.95</v>
      </c>
      <c r="G6" s="31">
        <v>8147</v>
      </c>
      <c r="H6" s="31">
        <v>1.5</v>
      </c>
      <c r="I6" s="68">
        <v>5544</v>
      </c>
    </row>
    <row r="7" spans="1:9" ht="29.5" thickBot="1" x14ac:dyDescent="0.4">
      <c r="A7" s="30" t="s">
        <v>113</v>
      </c>
      <c r="B7" s="30">
        <v>286</v>
      </c>
      <c r="C7" s="30">
        <v>453</v>
      </c>
      <c r="D7" s="30" t="s">
        <v>134</v>
      </c>
      <c r="E7" s="62" t="s">
        <v>135</v>
      </c>
      <c r="F7" s="67">
        <v>0.91</v>
      </c>
      <c r="G7" s="31">
        <v>7645</v>
      </c>
      <c r="H7" s="31">
        <v>1.6</v>
      </c>
      <c r="I7" s="68">
        <v>4827</v>
      </c>
    </row>
    <row r="8" spans="1:9" ht="29.5" thickBot="1" x14ac:dyDescent="0.4">
      <c r="A8" s="30" t="s">
        <v>114</v>
      </c>
      <c r="B8" s="30">
        <v>245</v>
      </c>
      <c r="C8" s="30">
        <v>396</v>
      </c>
      <c r="D8" s="30" t="s">
        <v>136</v>
      </c>
      <c r="E8" s="62">
        <v>988.29499999999996</v>
      </c>
      <c r="F8" s="67">
        <v>0.78</v>
      </c>
      <c r="G8" s="31">
        <v>8328</v>
      </c>
      <c r="H8" s="31">
        <v>1.6</v>
      </c>
      <c r="I8" s="68">
        <v>5152</v>
      </c>
    </row>
    <row r="9" spans="1:9" ht="29.5" thickBot="1" x14ac:dyDescent="0.4">
      <c r="A9" s="30" t="s">
        <v>115</v>
      </c>
      <c r="B9" s="30">
        <v>420</v>
      </c>
      <c r="C9" s="30">
        <v>808</v>
      </c>
      <c r="D9" s="30" t="s">
        <v>137</v>
      </c>
      <c r="E9" s="62" t="s">
        <v>138</v>
      </c>
      <c r="F9" s="67">
        <v>1.34</v>
      </c>
      <c r="G9" s="31">
        <v>10998</v>
      </c>
      <c r="H9" s="31">
        <v>1.9</v>
      </c>
      <c r="I9" s="68">
        <v>5717</v>
      </c>
    </row>
    <row r="10" spans="1:9" ht="29.5" thickBot="1" x14ac:dyDescent="0.4">
      <c r="A10" s="30" t="s">
        <v>116</v>
      </c>
      <c r="B10" s="30">
        <v>312</v>
      </c>
      <c r="C10" s="30">
        <v>481</v>
      </c>
      <c r="D10" s="30" t="s">
        <v>139</v>
      </c>
      <c r="E10" s="62" t="s">
        <v>140</v>
      </c>
      <c r="F10" s="67">
        <v>1</v>
      </c>
      <c r="G10" s="31">
        <v>7665</v>
      </c>
      <c r="H10" s="31">
        <v>1.5</v>
      </c>
      <c r="I10" s="68">
        <v>4972</v>
      </c>
    </row>
    <row r="11" spans="1:9" ht="29.5" thickBot="1" x14ac:dyDescent="0.4">
      <c r="A11" s="30" t="s">
        <v>117</v>
      </c>
      <c r="B11" s="30">
        <v>281</v>
      </c>
      <c r="C11" s="30">
        <v>462</v>
      </c>
      <c r="D11" s="30" t="s">
        <v>141</v>
      </c>
      <c r="E11" s="62">
        <v>960.08</v>
      </c>
      <c r="F11" s="67">
        <v>0.9</v>
      </c>
      <c r="G11" s="31">
        <v>7338</v>
      </c>
      <c r="H11" s="31">
        <v>1.6</v>
      </c>
      <c r="I11" s="68">
        <v>4463</v>
      </c>
    </row>
    <row r="12" spans="1:9" ht="29.5" thickBot="1" x14ac:dyDescent="0.4">
      <c r="A12" s="30" t="s">
        <v>118</v>
      </c>
      <c r="B12" s="30">
        <v>220</v>
      </c>
      <c r="C12" s="30">
        <v>384</v>
      </c>
      <c r="D12" s="30" t="s">
        <v>142</v>
      </c>
      <c r="E12" s="62">
        <v>838.31</v>
      </c>
      <c r="F12" s="67">
        <v>0.7</v>
      </c>
      <c r="G12" s="31">
        <v>8301</v>
      </c>
      <c r="H12" s="31">
        <v>1.7</v>
      </c>
      <c r="I12" s="68">
        <v>4756</v>
      </c>
    </row>
    <row r="13" spans="1:9" ht="29.5" thickBot="1" x14ac:dyDescent="0.4">
      <c r="A13" s="30" t="s">
        <v>119</v>
      </c>
      <c r="B13" s="30">
        <v>358</v>
      </c>
      <c r="C13" s="30">
        <v>722</v>
      </c>
      <c r="D13" s="30" t="s">
        <v>143</v>
      </c>
      <c r="E13" s="62" t="s">
        <v>144</v>
      </c>
      <c r="F13" s="67">
        <v>1.1399999999999999</v>
      </c>
      <c r="G13" s="31">
        <v>10204</v>
      </c>
      <c r="H13" s="31">
        <v>2</v>
      </c>
      <c r="I13" s="68">
        <v>5059</v>
      </c>
    </row>
    <row r="14" spans="1:9" ht="29.5" thickBot="1" x14ac:dyDescent="0.4">
      <c r="A14" s="30" t="s">
        <v>120</v>
      </c>
      <c r="B14" s="30">
        <v>244</v>
      </c>
      <c r="C14" s="30">
        <v>397</v>
      </c>
      <c r="D14" s="30" t="s">
        <v>145</v>
      </c>
      <c r="E14" s="62">
        <v>908.21500000000003</v>
      </c>
      <c r="F14" s="67">
        <v>0.78</v>
      </c>
      <c r="G14" s="31">
        <v>7972</v>
      </c>
      <c r="H14" s="31">
        <v>1.6</v>
      </c>
      <c r="I14" s="68">
        <v>4900</v>
      </c>
    </row>
    <row r="15" spans="1:9" ht="29.5" thickBot="1" x14ac:dyDescent="0.4">
      <c r="A15" s="30" t="s">
        <v>121</v>
      </c>
      <c r="B15" s="30">
        <v>236</v>
      </c>
      <c r="C15" s="30">
        <v>390</v>
      </c>
      <c r="D15" s="30" t="s">
        <v>146</v>
      </c>
      <c r="E15" s="62">
        <v>884.84</v>
      </c>
      <c r="F15" s="67">
        <v>0.75</v>
      </c>
      <c r="G15" s="31">
        <v>7978</v>
      </c>
      <c r="H15" s="31">
        <v>1.7</v>
      </c>
      <c r="I15" s="68">
        <v>4828</v>
      </c>
    </row>
    <row r="16" spans="1:9" ht="29.5" thickBot="1" x14ac:dyDescent="0.4">
      <c r="A16" s="30" t="s">
        <v>122</v>
      </c>
      <c r="B16" s="30">
        <v>201</v>
      </c>
      <c r="C16" s="30">
        <v>338</v>
      </c>
      <c r="D16" s="30" t="s">
        <v>147</v>
      </c>
      <c r="E16" s="62">
        <v>703.56</v>
      </c>
      <c r="F16" s="67">
        <v>0.64</v>
      </c>
      <c r="G16" s="31">
        <v>7485</v>
      </c>
      <c r="H16" s="31">
        <v>1.7</v>
      </c>
      <c r="I16" s="68">
        <v>4451</v>
      </c>
    </row>
    <row r="17" spans="1:9" ht="29.5" thickBot="1" x14ac:dyDescent="0.4">
      <c r="A17" s="32" t="s">
        <v>123</v>
      </c>
      <c r="B17" s="32">
        <v>353</v>
      </c>
      <c r="C17" s="32">
        <v>657</v>
      </c>
      <c r="D17" s="32" t="s">
        <v>148</v>
      </c>
      <c r="E17" s="63" t="s">
        <v>149</v>
      </c>
      <c r="F17" s="69">
        <v>1.1299999999999999</v>
      </c>
      <c r="G17" s="70">
        <v>9765</v>
      </c>
      <c r="H17" s="70">
        <v>1.9</v>
      </c>
      <c r="I17" s="71">
        <v>5247</v>
      </c>
    </row>
    <row r="18" spans="1:9" ht="15" thickTop="1" x14ac:dyDescent="0.35"/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80CB-722F-4117-A334-CEA44F13CE4A}">
  <dimension ref="A1:AC16"/>
  <sheetViews>
    <sheetView zoomScale="41" workbookViewId="0">
      <selection activeCell="N33" sqref="N33"/>
    </sheetView>
  </sheetViews>
  <sheetFormatPr defaultRowHeight="14.5" x14ac:dyDescent="0.35"/>
  <cols>
    <col min="4" max="4" width="17.08984375" customWidth="1"/>
    <col min="14" max="14" width="12.36328125" customWidth="1"/>
    <col min="24" max="24" width="11.1796875" customWidth="1"/>
  </cols>
  <sheetData>
    <row r="1" spans="1:29" ht="51.5" thickBot="1" x14ac:dyDescent="0.4">
      <c r="A1" s="33" t="s">
        <v>103</v>
      </c>
      <c r="B1" s="34" t="s">
        <v>2</v>
      </c>
      <c r="C1" s="34" t="s">
        <v>3</v>
      </c>
      <c r="D1" s="34" t="s">
        <v>4</v>
      </c>
      <c r="E1" s="34" t="s">
        <v>5</v>
      </c>
      <c r="F1" s="34" t="s">
        <v>104</v>
      </c>
      <c r="G1" s="34" t="s">
        <v>105</v>
      </c>
      <c r="H1" s="34" t="s">
        <v>106</v>
      </c>
      <c r="I1" s="35" t="s">
        <v>107</v>
      </c>
      <c r="J1" s="36"/>
      <c r="K1" s="34" t="s">
        <v>103</v>
      </c>
      <c r="L1" s="34" t="s">
        <v>2</v>
      </c>
      <c r="M1" s="34" t="s">
        <v>3</v>
      </c>
      <c r="N1" s="34" t="s">
        <v>4</v>
      </c>
      <c r="O1" s="34" t="s">
        <v>5</v>
      </c>
      <c r="P1" s="34" t="s">
        <v>104</v>
      </c>
      <c r="Q1" s="34" t="s">
        <v>105</v>
      </c>
      <c r="R1" s="34" t="s">
        <v>106</v>
      </c>
      <c r="S1" s="35" t="s">
        <v>107</v>
      </c>
      <c r="T1" s="36"/>
      <c r="U1" s="1" t="s">
        <v>103</v>
      </c>
      <c r="V1" s="34" t="s">
        <v>2</v>
      </c>
      <c r="W1" s="34" t="s">
        <v>3</v>
      </c>
      <c r="X1" s="34" t="s">
        <v>4</v>
      </c>
      <c r="Y1" s="34" t="s">
        <v>5</v>
      </c>
      <c r="Z1" s="34" t="s">
        <v>104</v>
      </c>
      <c r="AA1" s="34" t="s">
        <v>105</v>
      </c>
      <c r="AB1" s="34" t="s">
        <v>106</v>
      </c>
      <c r="AC1" s="35" t="s">
        <v>107</v>
      </c>
    </row>
    <row r="2" spans="1:29" ht="26.5" thickBot="1" x14ac:dyDescent="0.4">
      <c r="A2" s="37" t="s">
        <v>110</v>
      </c>
      <c r="B2" s="3">
        <v>2.8420000000000001</v>
      </c>
      <c r="C2" s="3">
        <v>3.593</v>
      </c>
      <c r="D2" s="3" t="s">
        <v>153</v>
      </c>
      <c r="E2" s="3" t="s">
        <v>154</v>
      </c>
      <c r="F2" s="2">
        <v>1</v>
      </c>
      <c r="G2" s="3">
        <v>6638</v>
      </c>
      <c r="H2" s="3">
        <v>1.3</v>
      </c>
      <c r="I2" s="38">
        <v>5251</v>
      </c>
      <c r="J2" s="36"/>
      <c r="K2" s="1"/>
      <c r="L2" s="1"/>
      <c r="M2" s="1"/>
      <c r="N2" s="1"/>
      <c r="O2" s="1"/>
      <c r="P2" s="1"/>
      <c r="Q2" s="1"/>
      <c r="R2" s="1"/>
      <c r="S2" s="36"/>
      <c r="T2" s="36"/>
      <c r="U2" s="1"/>
      <c r="V2" s="1"/>
      <c r="W2" s="1"/>
      <c r="X2" s="1"/>
      <c r="Y2" s="1"/>
      <c r="Z2" s="1"/>
      <c r="AA2" s="1"/>
      <c r="AB2" s="1"/>
      <c r="AC2" s="36"/>
    </row>
    <row r="3" spans="1:29" ht="26.5" thickBot="1" x14ac:dyDescent="0.4">
      <c r="A3" s="37" t="s">
        <v>111</v>
      </c>
      <c r="B3" s="3">
        <v>529</v>
      </c>
      <c r="C3" s="3">
        <v>818</v>
      </c>
      <c r="D3" s="3" t="s">
        <v>155</v>
      </c>
      <c r="E3" s="3" t="s">
        <v>156</v>
      </c>
      <c r="F3" s="2">
        <v>0.19</v>
      </c>
      <c r="G3" s="3">
        <v>8274</v>
      </c>
      <c r="H3" s="3">
        <v>1.5</v>
      </c>
      <c r="I3" s="38">
        <v>5351</v>
      </c>
      <c r="J3" s="36"/>
      <c r="K3" s="1" t="s">
        <v>111</v>
      </c>
      <c r="L3" s="3">
        <v>6.1609999999999996</v>
      </c>
      <c r="M3" s="3">
        <v>7.98</v>
      </c>
      <c r="N3" s="3" t="s">
        <v>157</v>
      </c>
      <c r="O3" s="3" t="s">
        <v>158</v>
      </c>
      <c r="P3" s="2">
        <v>1</v>
      </c>
      <c r="Q3" s="3">
        <v>8248</v>
      </c>
      <c r="R3" s="3">
        <v>1.3</v>
      </c>
      <c r="S3" s="38">
        <v>6368</v>
      </c>
      <c r="T3" s="36"/>
      <c r="U3" s="1"/>
      <c r="V3" s="1"/>
      <c r="W3" s="1"/>
      <c r="X3" s="1"/>
      <c r="Y3" s="1"/>
      <c r="Z3" s="1"/>
      <c r="AA3" s="1"/>
      <c r="AB3" s="1"/>
      <c r="AC3" s="36"/>
    </row>
    <row r="4" spans="1:29" ht="26.5" thickBot="1" x14ac:dyDescent="0.4">
      <c r="A4" s="37" t="s">
        <v>112</v>
      </c>
      <c r="B4" s="3">
        <v>237</v>
      </c>
      <c r="C4" s="3">
        <v>325</v>
      </c>
      <c r="D4" s="3" t="s">
        <v>159</v>
      </c>
      <c r="E4" s="3">
        <v>942.755</v>
      </c>
      <c r="F4" s="2">
        <v>0.08</v>
      </c>
      <c r="G4" s="3">
        <v>8055</v>
      </c>
      <c r="H4" s="3">
        <v>1.4</v>
      </c>
      <c r="I4" s="38">
        <v>5874</v>
      </c>
      <c r="J4" s="36"/>
      <c r="K4" s="1" t="s">
        <v>112</v>
      </c>
      <c r="L4" s="3">
        <v>619</v>
      </c>
      <c r="M4" s="3">
        <v>939</v>
      </c>
      <c r="N4" s="3" t="s">
        <v>160</v>
      </c>
      <c r="O4" s="3" t="s">
        <v>161</v>
      </c>
      <c r="P4" s="2">
        <v>0.1</v>
      </c>
      <c r="Q4" s="3">
        <v>8718</v>
      </c>
      <c r="R4" s="3">
        <v>1.5</v>
      </c>
      <c r="S4" s="38">
        <v>5747</v>
      </c>
      <c r="T4" s="36"/>
      <c r="U4" s="1"/>
      <c r="V4" s="1"/>
      <c r="W4" s="1"/>
      <c r="X4" s="1"/>
      <c r="Y4" s="1"/>
      <c r="Z4" s="1"/>
      <c r="AA4" s="1"/>
      <c r="AB4" s="1"/>
      <c r="AC4" s="36"/>
    </row>
    <row r="5" spans="1:29" ht="26.5" thickBot="1" x14ac:dyDescent="0.4">
      <c r="A5" s="37" t="s">
        <v>113</v>
      </c>
      <c r="B5" s="3">
        <v>318</v>
      </c>
      <c r="C5" s="3">
        <v>467</v>
      </c>
      <c r="D5" s="3" t="s">
        <v>162</v>
      </c>
      <c r="E5" s="3" t="s">
        <v>163</v>
      </c>
      <c r="F5" s="2">
        <v>0.11</v>
      </c>
      <c r="G5" s="3">
        <v>7413</v>
      </c>
      <c r="H5" s="3">
        <v>1.5</v>
      </c>
      <c r="I5" s="38">
        <v>5048</v>
      </c>
      <c r="J5" s="36"/>
      <c r="K5" s="1" t="s">
        <v>113</v>
      </c>
      <c r="L5" s="3">
        <v>546</v>
      </c>
      <c r="M5" s="3">
        <v>855</v>
      </c>
      <c r="N5" s="3" t="s">
        <v>164</v>
      </c>
      <c r="O5" s="3" t="s">
        <v>165</v>
      </c>
      <c r="P5" s="2">
        <v>0.09</v>
      </c>
      <c r="Q5" s="3">
        <v>7353</v>
      </c>
      <c r="R5" s="3">
        <v>1.6</v>
      </c>
      <c r="S5" s="38">
        <v>4695</v>
      </c>
      <c r="T5" s="36"/>
      <c r="U5" s="1"/>
      <c r="V5" s="1"/>
      <c r="W5" s="1"/>
      <c r="X5" s="1"/>
      <c r="Y5" s="1"/>
      <c r="Z5" s="1"/>
      <c r="AA5" s="1"/>
      <c r="AB5" s="1"/>
      <c r="AC5" s="36"/>
    </row>
    <row r="6" spans="1:29" ht="26.5" thickBot="1" x14ac:dyDescent="0.4">
      <c r="A6" s="37" t="s">
        <v>114</v>
      </c>
      <c r="B6" s="3">
        <v>317</v>
      </c>
      <c r="C6" s="3">
        <v>468</v>
      </c>
      <c r="D6" s="3" t="s">
        <v>166</v>
      </c>
      <c r="E6" s="3" t="s">
        <v>167</v>
      </c>
      <c r="F6" s="2">
        <v>0.11</v>
      </c>
      <c r="G6" s="3">
        <v>6983</v>
      </c>
      <c r="H6" s="3">
        <v>1.5</v>
      </c>
      <c r="I6" s="38">
        <v>4730</v>
      </c>
      <c r="J6" s="36"/>
      <c r="K6" s="1" t="s">
        <v>114</v>
      </c>
      <c r="L6" s="3">
        <v>451</v>
      </c>
      <c r="M6" s="3">
        <v>696</v>
      </c>
      <c r="N6" s="3" t="s">
        <v>168</v>
      </c>
      <c r="O6" s="3" t="s">
        <v>169</v>
      </c>
      <c r="P6" s="2">
        <v>7.0000000000000007E-2</v>
      </c>
      <c r="Q6" s="3">
        <v>7796</v>
      </c>
      <c r="R6" s="3">
        <v>1.5</v>
      </c>
      <c r="S6" s="38">
        <v>5052</v>
      </c>
      <c r="T6" s="36"/>
      <c r="U6" s="1"/>
      <c r="V6" s="1"/>
      <c r="W6" s="1"/>
      <c r="X6" s="1"/>
      <c r="Y6" s="1"/>
      <c r="Z6" s="1"/>
      <c r="AA6" s="1"/>
      <c r="AB6" s="1"/>
      <c r="AC6" s="36"/>
    </row>
    <row r="7" spans="1:29" ht="26.5" thickBot="1" x14ac:dyDescent="0.4">
      <c r="A7" s="37" t="s">
        <v>115</v>
      </c>
      <c r="B7" s="3">
        <v>366</v>
      </c>
      <c r="C7" s="3">
        <v>615</v>
      </c>
      <c r="D7" s="3" t="s">
        <v>170</v>
      </c>
      <c r="E7" s="3" t="s">
        <v>171</v>
      </c>
      <c r="F7" s="2">
        <v>0.13</v>
      </c>
      <c r="G7" s="3">
        <v>8245</v>
      </c>
      <c r="H7" s="3">
        <v>1.7</v>
      </c>
      <c r="I7" s="38">
        <v>4907</v>
      </c>
      <c r="J7" s="36"/>
      <c r="K7" s="1" t="s">
        <v>115</v>
      </c>
      <c r="L7" s="3">
        <v>939</v>
      </c>
      <c r="M7" s="3">
        <v>1.579</v>
      </c>
      <c r="N7" s="3" t="s">
        <v>172</v>
      </c>
      <c r="O7" s="3" t="s">
        <v>173</v>
      </c>
      <c r="P7" s="2">
        <v>0.15</v>
      </c>
      <c r="Q7" s="3">
        <v>9323</v>
      </c>
      <c r="R7" s="3">
        <v>1.7</v>
      </c>
      <c r="S7" s="38">
        <v>5544</v>
      </c>
      <c r="T7" s="36"/>
      <c r="U7" s="1" t="s">
        <v>115</v>
      </c>
      <c r="V7" s="3">
        <v>5.8810000000000002</v>
      </c>
      <c r="W7" s="3">
        <v>7.6509999999999998</v>
      </c>
      <c r="X7" s="3" t="s">
        <v>174</v>
      </c>
      <c r="Y7" s="3" t="s">
        <v>175</v>
      </c>
      <c r="Z7" s="2">
        <v>1</v>
      </c>
      <c r="AA7" s="3">
        <v>7837</v>
      </c>
      <c r="AB7" s="3">
        <v>1.3</v>
      </c>
      <c r="AC7" s="38">
        <v>6024</v>
      </c>
    </row>
    <row r="8" spans="1:29" ht="26.5" thickBot="1" x14ac:dyDescent="0.4">
      <c r="A8" s="37" t="s">
        <v>116</v>
      </c>
      <c r="B8" s="3">
        <v>234</v>
      </c>
      <c r="C8" s="3">
        <v>339</v>
      </c>
      <c r="D8" s="3" t="s">
        <v>176</v>
      </c>
      <c r="E8" s="3">
        <v>740.79499999999996</v>
      </c>
      <c r="F8" s="2">
        <v>0.08</v>
      </c>
      <c r="G8" s="3">
        <v>6732</v>
      </c>
      <c r="H8" s="3">
        <v>1.4</v>
      </c>
      <c r="I8" s="38">
        <v>4647</v>
      </c>
      <c r="J8" s="36"/>
      <c r="K8" s="1" t="s">
        <v>116</v>
      </c>
      <c r="L8" s="3">
        <v>418</v>
      </c>
      <c r="M8" s="3">
        <v>687</v>
      </c>
      <c r="N8" s="3" t="s">
        <v>177</v>
      </c>
      <c r="O8" s="3" t="s">
        <v>178</v>
      </c>
      <c r="P8" s="2">
        <v>7.0000000000000007E-2</v>
      </c>
      <c r="Q8" s="3">
        <v>8206</v>
      </c>
      <c r="R8" s="3">
        <v>1.6</v>
      </c>
      <c r="S8" s="38">
        <v>4993</v>
      </c>
      <c r="T8" s="36"/>
      <c r="U8" s="1" t="s">
        <v>116</v>
      </c>
      <c r="V8" s="3">
        <v>690</v>
      </c>
      <c r="W8" s="3">
        <v>1.0109999999999999</v>
      </c>
      <c r="X8" s="3" t="s">
        <v>179</v>
      </c>
      <c r="Y8" s="3" t="s">
        <v>180</v>
      </c>
      <c r="Z8" s="2">
        <v>0.12</v>
      </c>
      <c r="AA8" s="3">
        <v>8017</v>
      </c>
      <c r="AB8" s="3">
        <v>1.5</v>
      </c>
      <c r="AC8" s="38">
        <v>5472</v>
      </c>
    </row>
    <row r="9" spans="1:29" ht="26.5" thickBot="1" x14ac:dyDescent="0.4">
      <c r="A9" s="37" t="s">
        <v>117</v>
      </c>
      <c r="B9" s="3">
        <v>254</v>
      </c>
      <c r="C9" s="3">
        <v>408</v>
      </c>
      <c r="D9" s="3" t="s">
        <v>181</v>
      </c>
      <c r="E9" s="3">
        <v>868.56</v>
      </c>
      <c r="F9" s="2">
        <v>0.09</v>
      </c>
      <c r="G9" s="3">
        <v>7105</v>
      </c>
      <c r="H9" s="3">
        <v>1.6</v>
      </c>
      <c r="I9" s="38">
        <v>4423</v>
      </c>
      <c r="J9" s="36"/>
      <c r="K9" s="1" t="s">
        <v>117</v>
      </c>
      <c r="L9" s="3">
        <v>442</v>
      </c>
      <c r="M9" s="3">
        <v>738</v>
      </c>
      <c r="N9" s="3" t="s">
        <v>182</v>
      </c>
      <c r="O9" s="3" t="s">
        <v>183</v>
      </c>
      <c r="P9" s="2">
        <v>7.0000000000000007E-2</v>
      </c>
      <c r="Q9" s="3">
        <v>7637</v>
      </c>
      <c r="R9" s="3">
        <v>1.7</v>
      </c>
      <c r="S9" s="38">
        <v>4574</v>
      </c>
      <c r="T9" s="36"/>
      <c r="U9" s="1" t="s">
        <v>117</v>
      </c>
      <c r="V9" s="3">
        <v>473</v>
      </c>
      <c r="W9" s="3">
        <v>675</v>
      </c>
      <c r="X9" s="3" t="s">
        <v>184</v>
      </c>
      <c r="Y9" s="3" t="s">
        <v>185</v>
      </c>
      <c r="Z9" s="2">
        <v>0.08</v>
      </c>
      <c r="AA9" s="3">
        <v>7550</v>
      </c>
      <c r="AB9" s="3">
        <v>1.4</v>
      </c>
      <c r="AC9" s="38">
        <v>5291</v>
      </c>
    </row>
    <row r="10" spans="1:29" ht="26.5" thickBot="1" x14ac:dyDescent="0.4">
      <c r="A10" s="37" t="s">
        <v>118</v>
      </c>
      <c r="B10" s="3">
        <v>269</v>
      </c>
      <c r="C10" s="3">
        <v>385</v>
      </c>
      <c r="D10" s="3" t="s">
        <v>186</v>
      </c>
      <c r="E10" s="3">
        <v>742.94</v>
      </c>
      <c r="F10" s="2">
        <v>0.09</v>
      </c>
      <c r="G10" s="3">
        <v>5884</v>
      </c>
      <c r="H10" s="3">
        <v>1.4</v>
      </c>
      <c r="I10" s="38">
        <v>4111</v>
      </c>
      <c r="J10" s="36"/>
      <c r="K10" s="1" t="s">
        <v>118</v>
      </c>
      <c r="L10" s="3">
        <v>430</v>
      </c>
      <c r="M10" s="3">
        <v>731</v>
      </c>
      <c r="N10" s="3" t="s">
        <v>187</v>
      </c>
      <c r="O10" s="3" t="s">
        <v>188</v>
      </c>
      <c r="P10" s="2">
        <v>7.0000000000000007E-2</v>
      </c>
      <c r="Q10" s="3">
        <v>8085</v>
      </c>
      <c r="R10" s="3">
        <v>1.7</v>
      </c>
      <c r="S10" s="38">
        <v>4756</v>
      </c>
      <c r="T10" s="36"/>
      <c r="U10" s="1" t="s">
        <v>118</v>
      </c>
      <c r="V10" s="3">
        <v>420</v>
      </c>
      <c r="W10" s="3">
        <v>601</v>
      </c>
      <c r="X10" s="3" t="s">
        <v>189</v>
      </c>
      <c r="Y10" s="3" t="s">
        <v>190</v>
      </c>
      <c r="Z10" s="2">
        <v>7.0000000000000007E-2</v>
      </c>
      <c r="AA10" s="3">
        <v>6757</v>
      </c>
      <c r="AB10" s="3">
        <v>1.4</v>
      </c>
      <c r="AC10" s="38">
        <v>4722</v>
      </c>
    </row>
    <row r="11" spans="1:29" ht="26.5" thickBot="1" x14ac:dyDescent="0.4">
      <c r="A11" s="37" t="s">
        <v>119</v>
      </c>
      <c r="B11" s="3">
        <v>358</v>
      </c>
      <c r="C11" s="3">
        <v>625</v>
      </c>
      <c r="D11" s="3" t="s">
        <v>191</v>
      </c>
      <c r="E11" s="3" t="s">
        <v>192</v>
      </c>
      <c r="F11" s="2">
        <v>0.13</v>
      </c>
      <c r="G11" s="3">
        <v>9000</v>
      </c>
      <c r="H11" s="3">
        <v>1.7</v>
      </c>
      <c r="I11" s="38">
        <v>5155</v>
      </c>
      <c r="J11" s="36"/>
      <c r="K11" s="1" t="s">
        <v>119</v>
      </c>
      <c r="L11" s="3">
        <v>885</v>
      </c>
      <c r="M11" s="3">
        <v>1.542</v>
      </c>
      <c r="N11" s="3" t="s">
        <v>193</v>
      </c>
      <c r="O11" s="3" t="s">
        <v>194</v>
      </c>
      <c r="P11" s="2">
        <v>0.14000000000000001</v>
      </c>
      <c r="Q11" s="3">
        <v>9616</v>
      </c>
      <c r="R11" s="3">
        <v>1.7</v>
      </c>
      <c r="S11" s="38">
        <v>5519</v>
      </c>
      <c r="T11" s="36"/>
      <c r="U11" s="1" t="s">
        <v>119</v>
      </c>
      <c r="V11" s="3">
        <v>999</v>
      </c>
      <c r="W11" s="3">
        <v>1.66</v>
      </c>
      <c r="X11" s="3" t="s">
        <v>195</v>
      </c>
      <c r="Y11" s="3" t="s">
        <v>196</v>
      </c>
      <c r="Z11" s="2">
        <v>0.17</v>
      </c>
      <c r="AA11" s="3">
        <v>8936</v>
      </c>
      <c r="AB11" s="3">
        <v>1.7</v>
      </c>
      <c r="AC11" s="38">
        <v>5378</v>
      </c>
    </row>
    <row r="12" spans="1:29" ht="26.5" thickBot="1" x14ac:dyDescent="0.4">
      <c r="A12" s="37" t="s">
        <v>120</v>
      </c>
      <c r="B12" s="3">
        <v>220</v>
      </c>
      <c r="C12" s="3">
        <v>323</v>
      </c>
      <c r="D12" s="3" t="s">
        <v>197</v>
      </c>
      <c r="E12" s="3">
        <v>766.755</v>
      </c>
      <c r="F12" s="2">
        <v>0.08</v>
      </c>
      <c r="G12" s="3">
        <v>7450</v>
      </c>
      <c r="H12" s="3">
        <v>1.5</v>
      </c>
      <c r="I12" s="38">
        <v>5074</v>
      </c>
      <c r="J12" s="36"/>
      <c r="K12" s="1" t="s">
        <v>120</v>
      </c>
      <c r="L12" s="3">
        <v>381</v>
      </c>
      <c r="M12" s="3">
        <v>625</v>
      </c>
      <c r="N12" s="3" t="s">
        <v>198</v>
      </c>
      <c r="O12" s="3" t="s">
        <v>199</v>
      </c>
      <c r="P12" s="2">
        <v>0.06</v>
      </c>
      <c r="Q12" s="3">
        <v>9028</v>
      </c>
      <c r="R12" s="3">
        <v>1.6</v>
      </c>
      <c r="S12" s="38">
        <v>5503</v>
      </c>
      <c r="T12" s="36"/>
      <c r="U12" s="1" t="s">
        <v>120</v>
      </c>
      <c r="V12" s="3">
        <v>387</v>
      </c>
      <c r="W12" s="3">
        <v>562</v>
      </c>
      <c r="X12" s="3" t="s">
        <v>200</v>
      </c>
      <c r="Y12" s="3" t="s">
        <v>201</v>
      </c>
      <c r="Z12" s="2">
        <v>7.0000000000000007E-2</v>
      </c>
      <c r="AA12" s="3">
        <v>8101</v>
      </c>
      <c r="AB12" s="3">
        <v>1.5</v>
      </c>
      <c r="AC12" s="38">
        <v>5579</v>
      </c>
    </row>
    <row r="13" spans="1:29" ht="26.5" thickBot="1" x14ac:dyDescent="0.4">
      <c r="A13" s="37" t="s">
        <v>121</v>
      </c>
      <c r="B13" s="3">
        <v>224</v>
      </c>
      <c r="C13" s="3">
        <v>338</v>
      </c>
      <c r="D13" s="3" t="s">
        <v>202</v>
      </c>
      <c r="E13" s="3">
        <v>828.90499999999997</v>
      </c>
      <c r="F13" s="2">
        <v>0.08</v>
      </c>
      <c r="G13" s="3">
        <v>7780</v>
      </c>
      <c r="H13" s="3">
        <v>1.5</v>
      </c>
      <c r="I13" s="38">
        <v>5156</v>
      </c>
      <c r="J13" s="36"/>
      <c r="K13" s="1" t="s">
        <v>121</v>
      </c>
      <c r="L13" s="3">
        <v>384</v>
      </c>
      <c r="M13" s="3">
        <v>654</v>
      </c>
      <c r="N13" s="3" t="s">
        <v>203</v>
      </c>
      <c r="O13" s="3" t="s">
        <v>204</v>
      </c>
      <c r="P13" s="2">
        <v>0.06</v>
      </c>
      <c r="Q13" s="3">
        <v>9030</v>
      </c>
      <c r="R13" s="3">
        <v>1.7</v>
      </c>
      <c r="S13" s="38">
        <v>5302</v>
      </c>
      <c r="T13" s="36"/>
      <c r="U13" s="1" t="s">
        <v>121</v>
      </c>
      <c r="V13" s="3">
        <v>343</v>
      </c>
      <c r="W13" s="3">
        <v>522</v>
      </c>
      <c r="X13" s="3" t="s">
        <v>205</v>
      </c>
      <c r="Y13" s="3" t="s">
        <v>206</v>
      </c>
      <c r="Z13" s="2">
        <v>0.06</v>
      </c>
      <c r="AA13" s="3">
        <v>7425</v>
      </c>
      <c r="AB13" s="3">
        <v>1.5</v>
      </c>
      <c r="AC13" s="38">
        <v>4879</v>
      </c>
    </row>
    <row r="14" spans="1:29" ht="26.5" thickBot="1" x14ac:dyDescent="0.4">
      <c r="A14" s="37" t="s">
        <v>122</v>
      </c>
      <c r="B14" s="3">
        <v>230</v>
      </c>
      <c r="C14" s="3">
        <v>349</v>
      </c>
      <c r="D14" s="3" t="s">
        <v>207</v>
      </c>
      <c r="E14" s="3">
        <v>692.78</v>
      </c>
      <c r="F14" s="2">
        <v>0.08</v>
      </c>
      <c r="G14" s="3">
        <v>6290</v>
      </c>
      <c r="H14" s="3">
        <v>1.5</v>
      </c>
      <c r="I14" s="38">
        <v>4145</v>
      </c>
      <c r="J14" s="36"/>
      <c r="K14" s="1" t="s">
        <v>122</v>
      </c>
      <c r="L14" s="3">
        <v>351</v>
      </c>
      <c r="M14" s="3">
        <v>561</v>
      </c>
      <c r="N14" s="3" t="s">
        <v>208</v>
      </c>
      <c r="O14" s="3" t="s">
        <v>209</v>
      </c>
      <c r="P14" s="2">
        <v>0.06</v>
      </c>
      <c r="Q14" s="3">
        <v>6877</v>
      </c>
      <c r="R14" s="3">
        <v>1.6</v>
      </c>
      <c r="S14" s="38">
        <v>4303</v>
      </c>
      <c r="T14" s="36"/>
      <c r="U14" s="1" t="s">
        <v>122</v>
      </c>
      <c r="V14" s="3">
        <v>356</v>
      </c>
      <c r="W14" s="3">
        <v>518</v>
      </c>
      <c r="X14" s="3" t="s">
        <v>210</v>
      </c>
      <c r="Y14" s="3" t="s">
        <v>211</v>
      </c>
      <c r="Z14" s="2">
        <v>0.06</v>
      </c>
      <c r="AA14" s="3">
        <v>6326</v>
      </c>
      <c r="AB14" s="3">
        <v>1.5</v>
      </c>
      <c r="AC14" s="38">
        <v>4347</v>
      </c>
    </row>
    <row r="15" spans="1:29" ht="26.5" thickBot="1" x14ac:dyDescent="0.4">
      <c r="A15" s="39" t="s">
        <v>123</v>
      </c>
      <c r="B15" s="40">
        <v>311</v>
      </c>
      <c r="C15" s="40">
        <v>523</v>
      </c>
      <c r="D15" s="40" t="s">
        <v>212</v>
      </c>
      <c r="E15" s="40" t="s">
        <v>213</v>
      </c>
      <c r="F15" s="41">
        <v>0.11</v>
      </c>
      <c r="G15" s="40">
        <v>8662</v>
      </c>
      <c r="H15" s="40">
        <v>1.7</v>
      </c>
      <c r="I15" s="42">
        <v>5151</v>
      </c>
      <c r="J15" s="36"/>
      <c r="K15" s="43" t="s">
        <v>123</v>
      </c>
      <c r="L15" s="40">
        <v>743</v>
      </c>
      <c r="M15" s="40">
        <v>1.3640000000000001</v>
      </c>
      <c r="N15" s="40" t="s">
        <v>214</v>
      </c>
      <c r="O15" s="40" t="s">
        <v>215</v>
      </c>
      <c r="P15" s="41">
        <v>0.12</v>
      </c>
      <c r="Q15" s="40">
        <v>10152</v>
      </c>
      <c r="R15" s="40">
        <v>1.8</v>
      </c>
      <c r="S15" s="42">
        <v>5530</v>
      </c>
      <c r="T15" s="36"/>
      <c r="U15" s="43" t="s">
        <v>123</v>
      </c>
      <c r="V15" s="40">
        <v>778</v>
      </c>
      <c r="W15" s="40">
        <v>1.3</v>
      </c>
      <c r="X15" s="40" t="s">
        <v>216</v>
      </c>
      <c r="Y15" s="40" t="s">
        <v>217</v>
      </c>
      <c r="Z15" s="41">
        <v>0.13</v>
      </c>
      <c r="AA15" s="40">
        <v>9364</v>
      </c>
      <c r="AB15" s="40">
        <v>1.7</v>
      </c>
      <c r="AC15" s="42">
        <v>5604</v>
      </c>
    </row>
    <row r="16" spans="1:29" ht="45.5" thickBot="1" x14ac:dyDescent="0.5">
      <c r="A16" s="1"/>
      <c r="B16" s="1"/>
      <c r="C16" s="1"/>
      <c r="D16" s="44" t="s">
        <v>150</v>
      </c>
      <c r="E16" s="1"/>
      <c r="F16" s="1"/>
      <c r="G16" s="1"/>
      <c r="H16" s="1"/>
      <c r="I16" s="1"/>
      <c r="J16" s="1"/>
      <c r="K16" s="1"/>
      <c r="L16" s="1"/>
      <c r="M16" s="1"/>
      <c r="N16" s="44" t="s">
        <v>151</v>
      </c>
      <c r="O16" s="1"/>
      <c r="P16" s="1"/>
      <c r="Q16" s="1"/>
      <c r="R16" s="1"/>
      <c r="S16" s="1"/>
      <c r="T16" s="1"/>
      <c r="U16" s="1"/>
      <c r="V16" s="1"/>
      <c r="W16" s="1"/>
      <c r="X16" s="44" t="s">
        <v>152</v>
      </c>
      <c r="Y16" s="1"/>
      <c r="Z16" s="1"/>
      <c r="AA16" s="1"/>
      <c r="AB16" s="1"/>
      <c r="AC1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9078-DE4F-4CA3-A055-F54CC1A38DCE}">
  <dimension ref="A1:K31"/>
  <sheetViews>
    <sheetView zoomScale="48" workbookViewId="0">
      <selection activeCell="I13" sqref="I13"/>
    </sheetView>
  </sheetViews>
  <sheetFormatPr defaultRowHeight="14.5" x14ac:dyDescent="0.35"/>
  <sheetData>
    <row r="1" spans="1:11" x14ac:dyDescent="0.35">
      <c r="A1" s="47" t="s">
        <v>4</v>
      </c>
      <c r="B1" s="47"/>
      <c r="C1" s="47"/>
      <c r="D1" s="47"/>
      <c r="E1" s="47"/>
      <c r="F1" s="45"/>
      <c r="G1" s="45"/>
      <c r="H1" s="45"/>
      <c r="I1" s="45"/>
      <c r="J1" s="45"/>
      <c r="K1" s="45"/>
    </row>
    <row r="2" spans="1:11" ht="15" thickBot="1" x14ac:dyDescent="0.4">
      <c r="A2" s="47"/>
      <c r="B2" s="48">
        <v>2021</v>
      </c>
      <c r="C2" s="48">
        <v>2022</v>
      </c>
      <c r="D2" s="48">
        <v>2023</v>
      </c>
      <c r="E2" s="48">
        <v>2024</v>
      </c>
      <c r="F2" s="45"/>
      <c r="G2" s="45"/>
      <c r="H2" s="45"/>
      <c r="I2" s="45"/>
      <c r="J2" s="45"/>
      <c r="K2" s="45"/>
    </row>
    <row r="3" spans="1:11" ht="26" x14ac:dyDescent="0.35">
      <c r="A3" s="47" t="s">
        <v>218</v>
      </c>
      <c r="B3" s="48" t="s">
        <v>224</v>
      </c>
      <c r="C3" s="48" t="s">
        <v>225</v>
      </c>
      <c r="D3" s="48" t="s">
        <v>226</v>
      </c>
      <c r="E3" s="48" t="s">
        <v>227</v>
      </c>
      <c r="F3" s="45"/>
      <c r="G3" s="50" t="s">
        <v>219</v>
      </c>
      <c r="H3" s="51"/>
      <c r="I3" s="51"/>
      <c r="J3" s="52"/>
      <c r="K3" s="45"/>
    </row>
    <row r="4" spans="1:11" ht="26" x14ac:dyDescent="0.35">
      <c r="A4" s="48">
        <v>2021</v>
      </c>
      <c r="B4" s="48" t="s">
        <v>228</v>
      </c>
      <c r="C4" s="48" t="s">
        <v>229</v>
      </c>
      <c r="D4" s="48" t="s">
        <v>230</v>
      </c>
      <c r="E4" s="48" t="s">
        <v>231</v>
      </c>
      <c r="F4" s="45"/>
      <c r="G4" s="53">
        <v>2021</v>
      </c>
      <c r="H4" s="46">
        <v>2022</v>
      </c>
      <c r="I4" s="46">
        <v>2023</v>
      </c>
      <c r="J4" s="54">
        <v>2024</v>
      </c>
      <c r="K4" s="45"/>
    </row>
    <row r="5" spans="1:11" ht="26" x14ac:dyDescent="0.35">
      <c r="A5" s="48">
        <v>2022</v>
      </c>
      <c r="B5" s="48">
        <v>0</v>
      </c>
      <c r="C5" s="48" t="s">
        <v>232</v>
      </c>
      <c r="D5" s="48" t="s">
        <v>233</v>
      </c>
      <c r="E5" s="48" t="s">
        <v>234</v>
      </c>
      <c r="F5" s="45"/>
      <c r="G5" s="53">
        <v>8.8409999999999993</v>
      </c>
      <c r="H5" s="46">
        <v>8.3450000000000006</v>
      </c>
      <c r="I5" s="46">
        <v>8.1219999999999999</v>
      </c>
      <c r="J5" s="54">
        <v>8.3379999999999992</v>
      </c>
      <c r="K5" s="45"/>
    </row>
    <row r="6" spans="1:11" ht="26" x14ac:dyDescent="0.35">
      <c r="A6" s="48">
        <v>2023</v>
      </c>
      <c r="B6" s="48">
        <v>0</v>
      </c>
      <c r="C6" s="48">
        <v>0</v>
      </c>
      <c r="D6" s="48" t="s">
        <v>235</v>
      </c>
      <c r="E6" s="48" t="s">
        <v>236</v>
      </c>
      <c r="F6" s="45"/>
      <c r="G6" s="55"/>
      <c r="H6" s="45"/>
      <c r="I6" s="45"/>
      <c r="J6" s="56"/>
      <c r="K6" s="45"/>
    </row>
    <row r="7" spans="1:11" ht="26" x14ac:dyDescent="0.35">
      <c r="A7" s="48">
        <v>2024</v>
      </c>
      <c r="B7" s="48">
        <v>0</v>
      </c>
      <c r="C7" s="48">
        <v>0</v>
      </c>
      <c r="D7" s="48">
        <v>0</v>
      </c>
      <c r="E7" s="48" t="s">
        <v>237</v>
      </c>
      <c r="F7" s="45"/>
      <c r="G7" s="55" t="s">
        <v>220</v>
      </c>
      <c r="H7" s="45"/>
      <c r="I7" s="45"/>
      <c r="J7" s="56"/>
      <c r="K7" s="45"/>
    </row>
    <row r="8" spans="1:11" ht="26" x14ac:dyDescent="0.35">
      <c r="A8" s="47"/>
      <c r="B8" s="47"/>
      <c r="C8" s="47"/>
      <c r="D8" s="47"/>
      <c r="E8" s="47"/>
      <c r="F8" s="45"/>
      <c r="G8" s="55" t="s">
        <v>221</v>
      </c>
      <c r="H8" s="46">
        <v>0.85</v>
      </c>
      <c r="I8" s="45"/>
      <c r="J8" s="56"/>
      <c r="K8" s="45"/>
    </row>
    <row r="9" spans="1:11" ht="26" x14ac:dyDescent="0.35">
      <c r="A9" s="47" t="s">
        <v>5</v>
      </c>
      <c r="B9" s="47"/>
      <c r="C9" s="47"/>
      <c r="D9" s="47"/>
      <c r="E9" s="47"/>
      <c r="F9" s="45"/>
      <c r="G9" s="55" t="s">
        <v>222</v>
      </c>
      <c r="H9" s="46">
        <v>1.19</v>
      </c>
      <c r="I9" s="45"/>
      <c r="J9" s="56"/>
      <c r="K9" s="45"/>
    </row>
    <row r="10" spans="1:11" ht="26.5" thickBot="1" x14ac:dyDescent="0.4">
      <c r="A10" s="47"/>
      <c r="B10" s="48">
        <v>2021</v>
      </c>
      <c r="C10" s="48">
        <v>2022</v>
      </c>
      <c r="D10" s="48">
        <v>2023</v>
      </c>
      <c r="E10" s="48">
        <v>2024</v>
      </c>
      <c r="F10" s="45"/>
      <c r="G10" s="57" t="s">
        <v>223</v>
      </c>
      <c r="H10" s="58">
        <v>1.21</v>
      </c>
      <c r="I10" s="59"/>
      <c r="J10" s="60"/>
      <c r="K10" s="45"/>
    </row>
    <row r="11" spans="1:11" ht="26" x14ac:dyDescent="0.35">
      <c r="A11" s="47" t="s">
        <v>218</v>
      </c>
      <c r="B11" s="48" t="s">
        <v>238</v>
      </c>
      <c r="C11" s="48" t="s">
        <v>239</v>
      </c>
      <c r="D11" s="48" t="s">
        <v>240</v>
      </c>
      <c r="E11" s="48" t="s">
        <v>241</v>
      </c>
      <c r="F11" s="45"/>
      <c r="G11" s="45"/>
      <c r="H11" s="45"/>
      <c r="I11" s="45"/>
      <c r="J11" s="45"/>
      <c r="K11" s="45"/>
    </row>
    <row r="12" spans="1:11" ht="26" x14ac:dyDescent="0.35">
      <c r="A12" s="48">
        <v>2021</v>
      </c>
      <c r="B12" s="48" t="s">
        <v>242</v>
      </c>
      <c r="C12" s="48" t="s">
        <v>243</v>
      </c>
      <c r="D12" s="48" t="s">
        <v>244</v>
      </c>
      <c r="E12" s="48" t="s">
        <v>245</v>
      </c>
      <c r="F12" s="45"/>
      <c r="G12" s="45"/>
      <c r="H12" s="45"/>
      <c r="I12" s="45"/>
      <c r="J12" s="45"/>
      <c r="K12" s="45"/>
    </row>
    <row r="13" spans="1:11" ht="26" x14ac:dyDescent="0.35">
      <c r="A13" s="48">
        <v>2022</v>
      </c>
      <c r="B13" s="48">
        <v>0</v>
      </c>
      <c r="C13" s="48" t="s">
        <v>246</v>
      </c>
      <c r="D13" s="48" t="s">
        <v>247</v>
      </c>
      <c r="E13" s="48" t="s">
        <v>248</v>
      </c>
      <c r="F13" s="45"/>
      <c r="G13" s="45"/>
      <c r="H13" s="45"/>
      <c r="I13" s="45"/>
      <c r="J13" s="45"/>
      <c r="K13" s="45"/>
    </row>
    <row r="14" spans="1:11" ht="26" x14ac:dyDescent="0.35">
      <c r="A14" s="48">
        <v>2023</v>
      </c>
      <c r="B14" s="48">
        <v>0</v>
      </c>
      <c r="C14" s="48">
        <v>0</v>
      </c>
      <c r="D14" s="48" t="s">
        <v>249</v>
      </c>
      <c r="E14" s="48" t="s">
        <v>250</v>
      </c>
      <c r="F14" s="45"/>
      <c r="G14" s="45"/>
      <c r="H14" s="45"/>
      <c r="I14" s="45"/>
      <c r="J14" s="45"/>
      <c r="K14" s="45"/>
    </row>
    <row r="15" spans="1:11" ht="26" x14ac:dyDescent="0.35">
      <c r="A15" s="48">
        <v>2024</v>
      </c>
      <c r="B15" s="48">
        <v>0</v>
      </c>
      <c r="C15" s="48">
        <v>0</v>
      </c>
      <c r="D15" s="48">
        <v>0</v>
      </c>
      <c r="E15" s="48" t="s">
        <v>251</v>
      </c>
      <c r="F15" s="45"/>
      <c r="G15" s="45"/>
      <c r="H15" s="45"/>
      <c r="I15" s="45"/>
      <c r="J15" s="45"/>
      <c r="K15" s="45"/>
    </row>
    <row r="16" spans="1:11" x14ac:dyDescent="0.35">
      <c r="A16" s="47"/>
      <c r="B16" s="47"/>
      <c r="C16" s="47"/>
      <c r="D16" s="47"/>
      <c r="E16" s="47"/>
      <c r="F16" s="45"/>
      <c r="G16" s="45"/>
      <c r="H16" s="45"/>
      <c r="I16" s="45"/>
      <c r="J16" s="45"/>
      <c r="K16" s="45"/>
    </row>
    <row r="17" spans="1:11" ht="38.5" x14ac:dyDescent="0.35">
      <c r="A17" s="47" t="s">
        <v>2</v>
      </c>
      <c r="B17" s="47"/>
      <c r="C17" s="47"/>
      <c r="D17" s="47"/>
      <c r="E17" s="47"/>
      <c r="F17" s="45"/>
      <c r="G17" s="45"/>
      <c r="H17" s="45"/>
      <c r="I17" s="45"/>
      <c r="J17" s="45"/>
      <c r="K17" s="45"/>
    </row>
    <row r="18" spans="1:11" x14ac:dyDescent="0.35">
      <c r="A18" s="47"/>
      <c r="B18" s="48">
        <v>2021</v>
      </c>
      <c r="C18" s="48">
        <v>2022</v>
      </c>
      <c r="D18" s="48">
        <v>2023</v>
      </c>
      <c r="E18" s="48">
        <v>2024</v>
      </c>
      <c r="F18" s="45"/>
      <c r="G18" s="45"/>
      <c r="H18" s="45"/>
      <c r="I18" s="45"/>
      <c r="J18" s="45"/>
      <c r="K18" s="45"/>
    </row>
    <row r="19" spans="1:11" x14ac:dyDescent="0.35">
      <c r="A19" s="47" t="s">
        <v>218</v>
      </c>
      <c r="B19" s="48">
        <v>5.7510000000000003</v>
      </c>
      <c r="C19" s="48">
        <v>4.6360000000000001</v>
      </c>
      <c r="D19" s="48">
        <v>4.2329999999999997</v>
      </c>
      <c r="E19" s="48">
        <v>3.9209999999999998</v>
      </c>
      <c r="F19" s="45"/>
      <c r="G19" s="45"/>
      <c r="H19" s="45"/>
      <c r="I19" s="45"/>
      <c r="J19" s="45"/>
      <c r="K19" s="45"/>
    </row>
    <row r="20" spans="1:11" x14ac:dyDescent="0.35">
      <c r="A20" s="48">
        <v>2021</v>
      </c>
      <c r="B20" s="48">
        <v>14.914999999999999</v>
      </c>
      <c r="C20" s="48">
        <v>4.1070000000000002</v>
      </c>
      <c r="D20" s="48">
        <v>3.4910000000000001</v>
      </c>
      <c r="E20" s="48">
        <v>3.0750000000000002</v>
      </c>
      <c r="F20" s="45"/>
      <c r="G20" s="45"/>
      <c r="H20" s="45"/>
      <c r="I20" s="45"/>
      <c r="J20" s="45"/>
      <c r="K20" s="45"/>
    </row>
    <row r="21" spans="1:11" x14ac:dyDescent="0.35">
      <c r="A21" s="48">
        <v>2022</v>
      </c>
      <c r="B21" s="47"/>
      <c r="C21" s="48">
        <v>12.72</v>
      </c>
      <c r="D21" s="48">
        <v>3.3889999999999998</v>
      </c>
      <c r="E21" s="48">
        <v>2.6859999999999999</v>
      </c>
      <c r="F21" s="45"/>
      <c r="G21" s="45"/>
      <c r="H21" s="45"/>
      <c r="I21" s="45"/>
      <c r="J21" s="45"/>
      <c r="K21" s="45"/>
    </row>
    <row r="22" spans="1:11" x14ac:dyDescent="0.35">
      <c r="A22" s="48">
        <v>2023</v>
      </c>
      <c r="B22" s="47"/>
      <c r="C22" s="47"/>
      <c r="D22" s="48">
        <v>15.166</v>
      </c>
      <c r="E22" s="48">
        <v>3.7989999999999999</v>
      </c>
      <c r="F22" s="45"/>
      <c r="G22" s="45"/>
      <c r="H22" s="45"/>
      <c r="I22" s="45"/>
      <c r="J22" s="45"/>
      <c r="K22" s="45"/>
    </row>
    <row r="23" spans="1:11" x14ac:dyDescent="0.35">
      <c r="A23" s="48">
        <v>2024</v>
      </c>
      <c r="B23" s="47"/>
      <c r="C23" s="47"/>
      <c r="D23" s="47"/>
      <c r="E23" s="48">
        <v>18.315999999999999</v>
      </c>
      <c r="F23" s="45"/>
      <c r="G23" s="45"/>
      <c r="H23" s="45"/>
      <c r="I23" s="45"/>
      <c r="J23" s="45"/>
      <c r="K23" s="45"/>
    </row>
    <row r="24" spans="1:11" x14ac:dyDescent="0.35">
      <c r="A24" s="47"/>
      <c r="B24" s="47"/>
      <c r="C24" s="47"/>
      <c r="D24" s="47"/>
      <c r="E24" s="47"/>
      <c r="F24" s="45"/>
      <c r="G24" s="45"/>
      <c r="H24" s="45"/>
      <c r="I24" s="45"/>
      <c r="J24" s="45"/>
      <c r="K24" s="45"/>
    </row>
    <row r="25" spans="1:11" x14ac:dyDescent="0.35">
      <c r="A25" s="49" t="s">
        <v>3</v>
      </c>
      <c r="B25" s="47"/>
      <c r="C25" s="47"/>
      <c r="D25" s="47"/>
      <c r="E25" s="47"/>
      <c r="F25" s="45"/>
      <c r="G25" s="45"/>
      <c r="H25" s="45"/>
      <c r="I25" s="45"/>
      <c r="J25" s="45"/>
      <c r="K25" s="45"/>
    </row>
    <row r="26" spans="1:11" x14ac:dyDescent="0.35">
      <c r="A26" s="47"/>
      <c r="B26" s="48">
        <v>2021</v>
      </c>
      <c r="C26" s="48">
        <v>2022</v>
      </c>
      <c r="D26" s="48">
        <v>2023</v>
      </c>
      <c r="E26" s="48">
        <v>2024</v>
      </c>
      <c r="F26" s="45"/>
      <c r="G26" s="45"/>
      <c r="H26" s="45"/>
      <c r="I26" s="45"/>
      <c r="J26" s="45"/>
      <c r="K26" s="45"/>
    </row>
    <row r="27" spans="1:11" x14ac:dyDescent="0.35">
      <c r="A27" s="47" t="s">
        <v>218</v>
      </c>
      <c r="B27" s="48">
        <v>13.739000000000001</v>
      </c>
      <c r="C27" s="48">
        <v>11.475</v>
      </c>
      <c r="D27" s="48">
        <v>11.331</v>
      </c>
      <c r="E27" s="48">
        <v>10.581</v>
      </c>
      <c r="F27" s="45"/>
      <c r="G27" s="45"/>
      <c r="H27" s="45"/>
      <c r="I27" s="45"/>
      <c r="J27" s="45"/>
      <c r="K27" s="45"/>
    </row>
    <row r="28" spans="1:11" x14ac:dyDescent="0.35">
      <c r="A28" s="48">
        <v>2021</v>
      </c>
      <c r="B28" s="48">
        <v>22.911000000000001</v>
      </c>
      <c r="C28" s="48">
        <v>10.035</v>
      </c>
      <c r="D28" s="48">
        <v>9.3460000000000001</v>
      </c>
      <c r="E28" s="48">
        <v>8.1969999999999992</v>
      </c>
      <c r="F28" s="45"/>
      <c r="G28" s="45"/>
      <c r="H28" s="45"/>
      <c r="I28" s="45"/>
      <c r="J28" s="45"/>
      <c r="K28" s="45"/>
    </row>
    <row r="29" spans="1:11" x14ac:dyDescent="0.35">
      <c r="A29" s="48">
        <v>2022</v>
      </c>
      <c r="B29" s="47"/>
      <c r="C29" s="48">
        <v>18.64</v>
      </c>
      <c r="D29" s="48">
        <v>7.992</v>
      </c>
      <c r="E29" s="48">
        <v>6.3360000000000003</v>
      </c>
      <c r="F29" s="45"/>
      <c r="G29" s="45"/>
      <c r="H29" s="45"/>
      <c r="I29" s="45"/>
      <c r="J29" s="45"/>
      <c r="K29" s="45"/>
    </row>
    <row r="30" spans="1:11" x14ac:dyDescent="0.35">
      <c r="A30" s="48">
        <v>2023</v>
      </c>
      <c r="B30" s="47"/>
      <c r="C30" s="47"/>
      <c r="D30" s="48">
        <v>22.734999999999999</v>
      </c>
      <c r="E30" s="48">
        <v>9.0020000000000007</v>
      </c>
      <c r="F30" s="45"/>
      <c r="G30" s="45"/>
      <c r="H30" s="45"/>
      <c r="I30" s="45"/>
      <c r="J30" s="45"/>
      <c r="K30" s="45"/>
    </row>
    <row r="31" spans="1:11" x14ac:dyDescent="0.35">
      <c r="A31" s="48">
        <v>2024</v>
      </c>
      <c r="B31" s="47"/>
      <c r="C31" s="47"/>
      <c r="D31" s="47"/>
      <c r="E31" s="48">
        <v>27.143999999999998</v>
      </c>
      <c r="F31" s="45"/>
      <c r="G31" s="45"/>
      <c r="H31" s="45"/>
      <c r="I31" s="45"/>
      <c r="J31" s="45"/>
      <c r="K31" s="4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decile</vt:lpstr>
      <vt:lpstr>cohort</vt:lpstr>
      <vt:lpstr>comparative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Liman</dc:creator>
  <cp:lastModifiedBy>Liman</cp:lastModifiedBy>
  <dcterms:created xsi:type="dcterms:W3CDTF">2026-03-11T13:06:19Z</dcterms:created>
  <dcterms:modified xsi:type="dcterms:W3CDTF">2026-03-11T13:59:29Z</dcterms:modified>
</cp:coreProperties>
</file>